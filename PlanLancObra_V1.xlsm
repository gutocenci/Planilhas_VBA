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ernanda\Desktop\"/>
    </mc:Choice>
  </mc:AlternateContent>
  <bookViews>
    <workbookView xWindow="0" yWindow="0" windowWidth="20490" windowHeight="7530" xr2:uid="{7BFE7965-9A80-4D5E-9036-CB30DB0E902C}"/>
  </bookViews>
  <sheets>
    <sheet name="Cadastro" sheetId="1" r:id="rId1"/>
    <sheet name="Lançamentos" sheetId="3" r:id="rId2"/>
    <sheet name="PlanGrafTabDinam" sheetId="13" r:id="rId3"/>
    <sheet name="ControleVBA" sheetId="2" r:id="rId4"/>
  </sheets>
  <definedNames>
    <definedName name="_xlnm._FilterDatabase" localSheetId="3" hidden="1">ControleVBA!$B$4:$B$12</definedName>
    <definedName name="TabLan">Tabela3[#All]</definedName>
  </definedNames>
  <calcPr calcId="171027"/>
  <pivotCaches>
    <pivotCache cacheId="8" r:id="rId5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3" l="1"/>
  <c r="E5" i="3"/>
  <c r="B12" i="3"/>
  <c r="B11" i="3" s="1"/>
  <c r="B10" i="3" s="1"/>
  <c r="B9" i="3" s="1"/>
  <c r="B8" i="3" s="1"/>
  <c r="B7" i="3" s="1"/>
  <c r="J5" i="3" l="1"/>
  <c r="K5" i="3" s="1"/>
  <c r="G5" i="3"/>
  <c r="E14" i="1"/>
  <c r="E6" i="3"/>
  <c r="E7" i="3"/>
  <c r="E8" i="3"/>
  <c r="E9" i="3"/>
  <c r="E10" i="3"/>
  <c r="E11" i="3"/>
  <c r="E12" i="3"/>
  <c r="D6" i="3"/>
  <c r="D7" i="3"/>
  <c r="D8" i="3"/>
  <c r="D9" i="3"/>
  <c r="D10" i="3"/>
  <c r="D11" i="3"/>
  <c r="D12" i="3"/>
  <c r="E14" i="3"/>
  <c r="E15" i="3"/>
  <c r="E16" i="3"/>
  <c r="D14" i="3"/>
  <c r="D15" i="3"/>
  <c r="D16" i="3"/>
  <c r="G6" i="3"/>
  <c r="K6" i="3"/>
  <c r="G7" i="3"/>
  <c r="K7" i="3"/>
  <c r="G8" i="3"/>
  <c r="K8" i="3"/>
  <c r="G9" i="3"/>
  <c r="K9" i="3"/>
  <c r="G10" i="3"/>
  <c r="K10" i="3"/>
  <c r="G11" i="3"/>
  <c r="K11" i="3"/>
  <c r="G12" i="3"/>
  <c r="K12" i="3"/>
  <c r="C17" i="3"/>
  <c r="I17" i="3"/>
  <c r="H17" i="3"/>
  <c r="F17" i="3"/>
  <c r="K17" i="3" l="1"/>
  <c r="B6" i="3" l="1"/>
  <c r="B5" i="3" s="1"/>
</calcChain>
</file>

<file path=xl/sharedStrings.xml><?xml version="1.0" encoding="utf-8"?>
<sst xmlns="http://schemas.openxmlformats.org/spreadsheetml/2006/main" count="61" uniqueCount="47">
  <si>
    <t>Tipo</t>
  </si>
  <si>
    <t>Quantidade</t>
  </si>
  <si>
    <t>Valor Total</t>
  </si>
  <si>
    <t>Data</t>
  </si>
  <si>
    <t>Tipo :</t>
  </si>
  <si>
    <t>Descrição :</t>
  </si>
  <si>
    <t>Quantidade :</t>
  </si>
  <si>
    <t>Valor Und :</t>
  </si>
  <si>
    <t>Valor Total :</t>
  </si>
  <si>
    <t>Data :</t>
  </si>
  <si>
    <r>
      <t xml:space="preserve">LANÇAMENTOS CONTABIL - </t>
    </r>
    <r>
      <rPr>
        <b/>
        <i/>
        <sz val="14"/>
        <color theme="0"/>
        <rFont val="Calibri"/>
        <family val="2"/>
        <scheme val="minor"/>
      </rPr>
      <t>CENCI</t>
    </r>
  </si>
  <si>
    <t>Ferragem</t>
  </si>
  <si>
    <t>Porcelana</t>
  </si>
  <si>
    <t>Metais</t>
  </si>
  <si>
    <t>Pintura</t>
  </si>
  <si>
    <t>Eletrica</t>
  </si>
  <si>
    <t>Hidraulica</t>
  </si>
  <si>
    <t>Ceramica</t>
  </si>
  <si>
    <t>Calcario</t>
  </si>
  <si>
    <t>Documentação</t>
  </si>
  <si>
    <t>Luz</t>
  </si>
  <si>
    <t>Agua</t>
  </si>
  <si>
    <t>Manutenção</t>
  </si>
  <si>
    <t>Codigo</t>
  </si>
  <si>
    <t>Descrição Tipo</t>
  </si>
  <si>
    <t>Descrição Produto</t>
  </si>
  <si>
    <t>LANÇAMENTOS</t>
  </si>
  <si>
    <t>Index:</t>
  </si>
  <si>
    <t>Index Cod:</t>
  </si>
  <si>
    <t>Total</t>
  </si>
  <si>
    <t>Total Geral</t>
  </si>
  <si>
    <t>Barra 50p 12 Mtrs Gerdau</t>
  </si>
  <si>
    <t>Vaso Celita Branco</t>
  </si>
  <si>
    <t>Tanque Celita Branco</t>
  </si>
  <si>
    <t>Canduite Korona 50mtrs</t>
  </si>
  <si>
    <t xml:space="preserve">Habita-se </t>
  </si>
  <si>
    <t xml:space="preserve">CPFL </t>
  </si>
  <si>
    <t>Porcelanato 40x40</t>
  </si>
  <si>
    <t>START</t>
  </si>
  <si>
    <t>Mês</t>
  </si>
  <si>
    <t>Ano</t>
  </si>
  <si>
    <t>Id Tipo</t>
  </si>
  <si>
    <t>Valor Und</t>
  </si>
  <si>
    <t>10 Total</t>
  </si>
  <si>
    <t>11 Total</t>
  </si>
  <si>
    <t>Mês / Ano</t>
  </si>
  <si>
    <t>Total Tipo / 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</si>
</sst>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3">
    <xf numFmtId="0" fontId="0" fillId="0" borderId="0" xfId="0"/>
    <xf numFmtId="0" fontId="0" fillId="0" borderId="8" xfId="0" applyBorder="1"/>
    <xf numFmtId="0" fontId="0" fillId="2" borderId="0" xfId="0" applyFill="1"/>
    <xf numFmtId="0" fontId="0" fillId="4" borderId="8" xfId="0" applyFill="1" applyBorder="1"/>
    <xf numFmtId="0" fontId="2" fillId="2" borderId="0" xfId="0" applyFont="1" applyFill="1"/>
    <xf numFmtId="0" fontId="0" fillId="5" borderId="0" xfId="0" applyFill="1"/>
    <xf numFmtId="0" fontId="0" fillId="0" borderId="12" xfId="0" applyBorder="1"/>
    <xf numFmtId="0" fontId="0" fillId="0" borderId="0" xfId="0" applyBorder="1" applyAlignment="1">
      <alignment horizontal="center"/>
    </xf>
    <xf numFmtId="0" fontId="0" fillId="0" borderId="0" xfId="0" applyNumberFormat="1"/>
    <xf numFmtId="0" fontId="0" fillId="4" borderId="9" xfId="0" applyFill="1" applyBorder="1" applyAlignment="1"/>
    <xf numFmtId="44" fontId="0" fillId="4" borderId="9" xfId="1" applyFont="1" applyFill="1" applyBorder="1" applyAlignment="1"/>
    <xf numFmtId="44" fontId="0" fillId="4" borderId="8" xfId="1" applyFont="1" applyFill="1" applyBorder="1"/>
    <xf numFmtId="0" fontId="0" fillId="4" borderId="0" xfId="0" applyFill="1" applyBorder="1" applyAlignment="1">
      <alignment horizontal="center"/>
    </xf>
    <xf numFmtId="0" fontId="0" fillId="4" borderId="0" xfId="0" applyFill="1"/>
    <xf numFmtId="44" fontId="0" fillId="5" borderId="0" xfId="1" applyFont="1" applyFill="1" applyBorder="1" applyAlignment="1">
      <alignment horizontal="center"/>
    </xf>
    <xf numFmtId="44" fontId="0" fillId="4" borderId="0" xfId="1" applyFont="1" applyFill="1" applyBorder="1" applyAlignment="1">
      <alignment horizontal="center"/>
    </xf>
    <xf numFmtId="44" fontId="0" fillId="0" borderId="0" xfId="0" applyNumberFormat="1"/>
    <xf numFmtId="0" fontId="0" fillId="4" borderId="8" xfId="0" applyFill="1" applyBorder="1" applyAlignment="1">
      <alignment horizontal="center" vertical="center"/>
    </xf>
    <xf numFmtId="0" fontId="0" fillId="4" borderId="0" xfId="0" applyFill="1" applyBorder="1"/>
    <xf numFmtId="44" fontId="0" fillId="4" borderId="0" xfId="0" applyNumberFormat="1" applyFill="1" applyBorder="1"/>
    <xf numFmtId="14" fontId="0" fillId="4" borderId="8" xfId="0" applyNumberFormat="1" applyFill="1" applyBorder="1"/>
    <xf numFmtId="0" fontId="0" fillId="4" borderId="8" xfId="0" applyFill="1" applyBorder="1" applyAlignment="1">
      <alignment horizontal="left"/>
    </xf>
    <xf numFmtId="14" fontId="0" fillId="4" borderId="8" xfId="0" applyNumberFormat="1" applyFill="1" applyBorder="1" applyAlignment="1">
      <alignment horizontal="left"/>
    </xf>
    <xf numFmtId="0" fontId="0" fillId="5" borderId="0" xfId="0" applyFill="1" applyBorder="1"/>
    <xf numFmtId="0" fontId="2" fillId="5" borderId="0" xfId="0" applyFont="1" applyFill="1" applyBorder="1"/>
    <xf numFmtId="0" fontId="2" fillId="5" borderId="0" xfId="0" applyFont="1" applyFill="1"/>
    <xf numFmtId="0" fontId="0" fillId="4" borderId="0" xfId="0" applyFill="1" applyBorder="1" applyAlignment="1">
      <alignment horizontal="center" vertical="center"/>
    </xf>
    <xf numFmtId="44" fontId="0" fillId="4" borderId="0" xfId="1" applyFont="1" applyFill="1" applyBorder="1"/>
    <xf numFmtId="14" fontId="0" fillId="4" borderId="0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left"/>
    </xf>
    <xf numFmtId="44" fontId="0" fillId="4" borderId="0" xfId="1" applyFont="1" applyFill="1" applyBorder="1" applyAlignment="1">
      <alignment horizontal="left"/>
    </xf>
    <xf numFmtId="14" fontId="0" fillId="4" borderId="0" xfId="0" applyNumberFormat="1" applyFill="1" applyBorder="1" applyAlignment="1">
      <alignment horizontal="left"/>
    </xf>
    <xf numFmtId="44" fontId="0" fillId="4" borderId="0" xfId="1" applyFont="1" applyFill="1" applyBorder="1" applyAlignment="1">
      <alignment horizontal="center" vertical="center"/>
    </xf>
    <xf numFmtId="0" fontId="0" fillId="4" borderId="0" xfId="0" applyNumberFormat="1" applyFill="1" applyBorder="1"/>
    <xf numFmtId="0" fontId="0" fillId="4" borderId="0" xfId="0" applyNumberFormat="1" applyFill="1" applyBorder="1" applyAlignment="1">
      <alignment horizontal="center"/>
    </xf>
    <xf numFmtId="14" fontId="0" fillId="4" borderId="0" xfId="0" applyNumberFormat="1" applyFill="1" applyBorder="1"/>
    <xf numFmtId="44" fontId="0" fillId="4" borderId="0" xfId="1" applyNumberFormat="1" applyFont="1" applyFill="1" applyBorder="1" applyAlignment="1">
      <alignment horizontal="left"/>
    </xf>
    <xf numFmtId="0" fontId="0" fillId="4" borderId="0" xfId="0" applyNumberFormat="1" applyFill="1" applyBorder="1" applyAlignment="1">
      <alignment horizontal="left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Alignment="1" applyProtection="1">
      <alignment horizontal="left"/>
      <protection hidden="1"/>
    </xf>
    <xf numFmtId="44" fontId="0" fillId="4" borderId="0" xfId="1" applyFont="1" applyFill="1" applyBorder="1" applyAlignment="1" applyProtection="1">
      <alignment horizontal="left"/>
      <protection hidden="1"/>
    </xf>
    <xf numFmtId="0" fontId="0" fillId="4" borderId="0" xfId="0" applyNumberFormat="1" applyFill="1" applyBorder="1" applyAlignment="1" applyProtection="1">
      <alignment horizontal="center" vertical="center"/>
      <protection hidden="1"/>
    </xf>
    <xf numFmtId="44" fontId="0" fillId="4" borderId="0" xfId="0" applyNumberFormat="1" applyFill="1" applyBorder="1" applyAlignment="1">
      <alignment horizontal="left"/>
    </xf>
    <xf numFmtId="0" fontId="6" fillId="4" borderId="0" xfId="0" applyFont="1" applyFill="1" applyBorder="1"/>
    <xf numFmtId="0" fontId="6" fillId="4" borderId="0" xfId="0" applyFont="1" applyFill="1" applyBorder="1" applyAlignment="1">
      <alignment horizontal="left"/>
    </xf>
    <xf numFmtId="0" fontId="6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/>
    </xf>
    <xf numFmtId="44" fontId="6" fillId="4" borderId="0" xfId="1" applyFont="1" applyFill="1" applyBorder="1"/>
    <xf numFmtId="14" fontId="6" fillId="4" borderId="0" xfId="0" applyNumberFormat="1" applyFont="1" applyFill="1" applyBorder="1" applyAlignment="1">
      <alignment horizontal="left"/>
    </xf>
    <xf numFmtId="0" fontId="6" fillId="4" borderId="0" xfId="0" applyFont="1" applyFill="1" applyBorder="1" applyAlignment="1" applyProtection="1">
      <alignment horizontal="center" vertical="center"/>
      <protection hidden="1"/>
    </xf>
    <xf numFmtId="0" fontId="6" fillId="4" borderId="0" xfId="0" applyFont="1" applyFill="1" applyBorder="1" applyAlignment="1" applyProtection="1">
      <alignment horizontal="left"/>
      <protection hidden="1"/>
    </xf>
    <xf numFmtId="44" fontId="6" fillId="4" borderId="0" xfId="1" applyFont="1" applyFill="1" applyBorder="1" applyProtection="1">
      <protection hidden="1"/>
    </xf>
    <xf numFmtId="0" fontId="6" fillId="4" borderId="0" xfId="0" applyFont="1" applyFill="1" applyBorder="1" applyProtection="1">
      <protection hidden="1"/>
    </xf>
    <xf numFmtId="0" fontId="6" fillId="4" borderId="0" xfId="0" applyFont="1" applyFill="1" applyBorder="1" applyAlignment="1" applyProtection="1">
      <protection hidden="1"/>
    </xf>
    <xf numFmtId="14" fontId="6" fillId="4" borderId="0" xfId="0" applyNumberFormat="1" applyFont="1" applyFill="1" applyBorder="1" applyAlignment="1">
      <alignment horizontal="center" vertical="center"/>
    </xf>
    <xf numFmtId="44" fontId="6" fillId="4" borderId="0" xfId="1" applyFont="1" applyFill="1" applyBorder="1" applyAlignment="1">
      <alignment horizontal="left"/>
    </xf>
    <xf numFmtId="0" fontId="6" fillId="4" borderId="0" xfId="0" applyNumberFormat="1" applyFont="1" applyFill="1" applyBorder="1" applyProtection="1">
      <protection hidden="1"/>
    </xf>
    <xf numFmtId="44" fontId="6" fillId="4" borderId="0" xfId="0" applyNumberFormat="1" applyFont="1" applyFill="1" applyBorder="1" applyProtection="1">
      <protection hidden="1"/>
    </xf>
    <xf numFmtId="0" fontId="6" fillId="4" borderId="0" xfId="0" applyNumberFormat="1" applyFont="1" applyFill="1" applyBorder="1" applyAlignment="1" applyProtection="1">
      <alignment horizontal="center" vertical="center"/>
      <protection hidden="1"/>
    </xf>
    <xf numFmtId="0" fontId="6" fillId="4" borderId="8" xfId="0" applyFont="1" applyFill="1" applyBorder="1"/>
    <xf numFmtId="0" fontId="6" fillId="4" borderId="8" xfId="0" applyFont="1" applyFill="1" applyBorder="1" applyAlignment="1">
      <alignment horizontal="left"/>
    </xf>
    <xf numFmtId="0" fontId="6" fillId="4" borderId="8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/>
    </xf>
    <xf numFmtId="44" fontId="6" fillId="4" borderId="8" xfId="1" applyFont="1" applyFill="1" applyBorder="1"/>
    <xf numFmtId="0" fontId="6" fillId="4" borderId="8" xfId="0" applyNumberFormat="1" applyFont="1" applyFill="1" applyBorder="1"/>
    <xf numFmtId="14" fontId="6" fillId="4" borderId="8" xfId="0" applyNumberFormat="1" applyFont="1" applyFill="1" applyBorder="1" applyAlignment="1">
      <alignment horizontal="left"/>
    </xf>
    <xf numFmtId="0" fontId="6" fillId="4" borderId="8" xfId="0" applyNumberFormat="1" applyFont="1" applyFill="1" applyBorder="1" applyAlignment="1">
      <alignment horizontal="left"/>
    </xf>
    <xf numFmtId="44" fontId="6" fillId="4" borderId="8" xfId="0" applyNumberFormat="1" applyFont="1" applyFill="1" applyBorder="1"/>
    <xf numFmtId="44" fontId="6" fillId="4" borderId="8" xfId="1" applyNumberFormat="1" applyFont="1" applyFill="1" applyBorder="1" applyAlignment="1">
      <alignment horizontal="center"/>
    </xf>
    <xf numFmtId="0" fontId="0" fillId="4" borderId="10" xfId="0" applyFill="1" applyBorder="1" applyAlignment="1"/>
    <xf numFmtId="0" fontId="0" fillId="4" borderId="11" xfId="0" applyFill="1" applyBorder="1" applyAlignment="1"/>
    <xf numFmtId="44" fontId="0" fillId="4" borderId="11" xfId="1" applyFont="1" applyFill="1" applyBorder="1" applyAlignment="1"/>
    <xf numFmtId="0" fontId="7" fillId="4" borderId="8" xfId="0" applyFont="1" applyFill="1" applyBorder="1" applyAlignment="1">
      <alignment horizontal="center"/>
    </xf>
    <xf numFmtId="14" fontId="2" fillId="4" borderId="8" xfId="0" applyNumberFormat="1" applyFont="1" applyFill="1" applyBorder="1" applyAlignment="1">
      <alignment horizontal="center"/>
    </xf>
    <xf numFmtId="0" fontId="0" fillId="0" borderId="1" xfId="0" pivotButton="1" applyBorder="1"/>
    <xf numFmtId="0" fontId="0" fillId="0" borderId="1" xfId="0" applyBorder="1" applyAlignment="1">
      <alignment horizontal="left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0" fillId="0" borderId="8" xfId="0" applyNumberFormat="1" applyBorder="1"/>
    <xf numFmtId="0" fontId="0" fillId="4" borderId="8" xfId="0" applyFill="1" applyBorder="1" applyAlignment="1"/>
    <xf numFmtId="0" fontId="0" fillId="0" borderId="8" xfId="0" applyBorder="1" applyAlignment="1">
      <alignment horizontal="left"/>
    </xf>
    <xf numFmtId="0" fontId="0" fillId="0" borderId="8" xfId="0" applyBorder="1" applyAlignment="1">
      <alignment horizontal="center" vertical="center"/>
    </xf>
    <xf numFmtId="44" fontId="0" fillId="0" borderId="8" xfId="1" applyFont="1" applyBorder="1" applyAlignment="1">
      <alignment horizontal="left"/>
    </xf>
    <xf numFmtId="0" fontId="0" fillId="0" borderId="8" xfId="0" applyBorder="1" applyAlignment="1">
      <alignment horizontal="center"/>
    </xf>
    <xf numFmtId="14" fontId="0" fillId="0" borderId="0" xfId="0" applyNumberFormat="1"/>
    <xf numFmtId="0" fontId="0" fillId="0" borderId="1" xfId="0" applyBorder="1"/>
    <xf numFmtId="0" fontId="0" fillId="0" borderId="13" xfId="0" applyNumberFormat="1" applyBorder="1"/>
    <xf numFmtId="0" fontId="0" fillId="0" borderId="14" xfId="0" applyNumberFormat="1" applyBorder="1"/>
    <xf numFmtId="0" fontId="0" fillId="0" borderId="15" xfId="0" applyNumberFormat="1" applyBorder="1"/>
    <xf numFmtId="0" fontId="0" fillId="0" borderId="13" xfId="0" applyBorder="1" applyAlignment="1">
      <alignment horizontal="left" indent="1"/>
    </xf>
    <xf numFmtId="0" fontId="0" fillId="0" borderId="14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0" fillId="0" borderId="1" xfId="0" applyBorder="1" applyAlignment="1">
      <alignment horizontal="left" indent="1"/>
    </xf>
  </cellXfs>
  <cellStyles count="2">
    <cellStyle name="Moeda" xfId="1" builtinId="4"/>
    <cellStyle name="Normal" xfId="0" builtinId="0"/>
  </cellStyles>
  <dxfs count="66"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</dxf>
    <dxf>
      <numFmt numFmtId="0" formatCode="General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[PlanLancObra_V1.xlsm]PlanGrafTabDinam!Tabela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PlanGrafTabDinam!$C$3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PlanGrafTabDinam!$B$4:$B$14</c:f>
              <c:multiLvlStrCache>
                <c:ptCount val="6"/>
                <c:lvl>
                  <c:pt idx="0">
                    <c:v>Documentação</c:v>
                  </c:pt>
                  <c:pt idx="1">
                    <c:v>Eletrica</c:v>
                  </c:pt>
                  <c:pt idx="2">
                    <c:v>Ferragem</c:v>
                  </c:pt>
                  <c:pt idx="3">
                    <c:v>Manutenção</c:v>
                  </c:pt>
                  <c:pt idx="4">
                    <c:v>Porcelana</c:v>
                  </c:pt>
                  <c:pt idx="5">
                    <c:v>Ceramica</c:v>
                  </c:pt>
                </c:lvl>
                <c:lvl>
                  <c:pt idx="0">
                    <c:v>10</c:v>
                  </c:pt>
                  <c:pt idx="5">
                    <c:v>11</c:v>
                  </c:pt>
                </c:lvl>
              </c:multiLvlStrCache>
            </c:multiLvlStrRef>
          </c:cat>
          <c:val>
            <c:numRef>
              <c:f>PlanGrafTabDinam!$C$4:$C$14</c:f>
              <c:numCache>
                <c:formatCode>General</c:formatCode>
                <c:ptCount val="6"/>
                <c:pt idx="0">
                  <c:v>220</c:v>
                </c:pt>
                <c:pt idx="1">
                  <c:v>220</c:v>
                </c:pt>
                <c:pt idx="2">
                  <c:v>200</c:v>
                </c:pt>
                <c:pt idx="3">
                  <c:v>40</c:v>
                </c:pt>
                <c:pt idx="4">
                  <c:v>460</c:v>
                </c:pt>
                <c:pt idx="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86-4017-BD46-78DD3C1C6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18000848"/>
        <c:axId val="318001832"/>
        <c:axId val="0"/>
      </c:bar3DChart>
      <c:catAx>
        <c:axId val="318000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8001832"/>
        <c:crosses val="autoZero"/>
        <c:auto val="1"/>
        <c:lblAlgn val="ctr"/>
        <c:lblOffset val="100"/>
        <c:noMultiLvlLbl val="0"/>
      </c:catAx>
      <c:valAx>
        <c:axId val="318001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8000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Drop" dropLines="12" dropStyle="combo" dx="22" fmlaLink="$E$5" fmlaRange="ControleVBA!$B$3:$B$15" noThreeD="1" sel="0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9</xdr:col>
          <xdr:colOff>9525</xdr:colOff>
          <xdr:row>20</xdr:row>
          <xdr:rowOff>171450</xdr:rowOff>
        </xdr:to>
        <xdr:sp macro="" textlink="">
          <xdr:nvSpPr>
            <xdr:cNvPr id="1025" name="Caixa de grupo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Lançamentos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28575</xdr:colOff>
      <xdr:row>17</xdr:row>
      <xdr:rowOff>19050</xdr:rowOff>
    </xdr:from>
    <xdr:to>
      <xdr:col>7</xdr:col>
      <xdr:colOff>0</xdr:colOff>
      <xdr:row>20</xdr:row>
      <xdr:rowOff>0</xdr:rowOff>
    </xdr:to>
    <xdr:sp macro="[0]!Macro13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466975" y="3067050"/>
          <a:ext cx="1800225" cy="552450"/>
        </a:xfrm>
        <a:prstGeom prst="roundRect">
          <a:avLst/>
        </a:prstGeom>
        <a:gradFill flip="none" rotWithShape="1">
          <a:gsLst>
            <a:gs pos="0">
              <a:schemeClr val="accent1">
                <a:lumMod val="67000"/>
              </a:schemeClr>
            </a:gs>
            <a:gs pos="48000">
              <a:schemeClr val="accent1">
                <a:lumMod val="97000"/>
                <a:lumOff val="3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CADASTRO</a:t>
          </a:r>
        </a:p>
        <a:p>
          <a:pPr algn="ctr"/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0</xdr:rowOff>
        </xdr:from>
        <xdr:to>
          <xdr:col>5</xdr:col>
          <xdr:colOff>400050</xdr:colOff>
          <xdr:row>6</xdr:row>
          <xdr:rowOff>9525</xdr:rowOff>
        </xdr:to>
        <xdr:sp macro="" textlink="">
          <xdr:nvSpPr>
            <xdr:cNvPr id="1026" name="Drop-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233361</xdr:colOff>
      <xdr:row>1</xdr:row>
      <xdr:rowOff>133349</xdr:rowOff>
    </xdr:from>
    <xdr:to>
      <xdr:col>13</xdr:col>
      <xdr:colOff>561974</xdr:colOff>
      <xdr:row>22</xdr:row>
      <xdr:rowOff>161924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59D7619A-A94F-44DE-95C0-1757A04D57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a" refreshedDate="43023.7568537037" createdVersion="6" refreshedVersion="6" minRefreshableVersion="3" recordCount="8" xr:uid="{01B78701-3BAE-486E-BE96-5D14BF9CC97C}">
  <cacheSource type="worksheet">
    <worksheetSource ref="B4:K12" sheet="Lançamentos"/>
  </cacheSource>
  <cacheFields count="10">
    <cacheField name="Codigo" numFmtId="0">
      <sharedItems containsSemiMixedTypes="0" containsString="0" containsNumber="1" containsInteger="1" minValue="1" maxValue="8"/>
    </cacheField>
    <cacheField name="Data" numFmtId="14">
      <sharedItems containsSemiMixedTypes="0" containsNonDate="0" containsDate="1" containsString="0" minDate="2010-10-10T00:00:00" maxDate="2010-11-03T00:00:00"/>
    </cacheField>
    <cacheField name="Ano" numFmtId="0">
      <sharedItems containsSemiMixedTypes="0" containsString="0" containsNumber="1" containsInteger="1" minValue="2010" maxValue="2010" count="1">
        <n v="2010"/>
      </sharedItems>
    </cacheField>
    <cacheField name="Mês" numFmtId="0">
      <sharedItems containsSemiMixedTypes="0" containsString="0" containsNumber="1" containsInteger="1" minValue="10" maxValue="11" count="2">
        <n v="11"/>
        <n v="10"/>
      </sharedItems>
    </cacheField>
    <cacheField name="Id Tipo" numFmtId="0">
      <sharedItems containsString="0" containsBlank="1" containsNumber="1" containsInteger="1" minValue="2" maxValue="11"/>
    </cacheField>
    <cacheField name="Descrição Tipo" numFmtId="0">
      <sharedItems containsMixedTypes="1" containsNumber="1" containsInteger="1" minValue="0" maxValue="0" count="7">
        <n v="0"/>
        <s v="Ceramica"/>
        <s v="Manutenção"/>
        <s v="Documentação"/>
        <s v="Eletrica"/>
        <s v="Porcelana"/>
        <s v="Ferragem"/>
      </sharedItems>
    </cacheField>
    <cacheField name="Descrição Produto" numFmtId="0">
      <sharedItems containsBlank="1"/>
    </cacheField>
    <cacheField name="Quantidade" numFmtId="0">
      <sharedItems containsString="0" containsBlank="1" containsNumber="1" containsInteger="1" minValue="1" maxValue="10"/>
    </cacheField>
    <cacheField name="Valor Und" numFmtId="44">
      <sharedItems containsSemiMixedTypes="0" containsString="0" containsNumber="1" containsInteger="1" minValue="0" maxValue="220"/>
    </cacheField>
    <cacheField name="Valor Total" numFmtId="0">
      <sharedItems containsSemiMixedTypes="0" containsString="0" containsNumber="1" containsInteger="1" minValue="0" maxValue="5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n v="8"/>
    <d v="2010-11-02T00:00:00"/>
    <x v="0"/>
    <x v="0"/>
    <m/>
    <x v="0"/>
    <m/>
    <m/>
    <n v="0"/>
    <n v="0"/>
  </r>
  <r>
    <n v="7"/>
    <d v="2010-11-02T00:00:00"/>
    <x v="0"/>
    <x v="0"/>
    <n v="8"/>
    <x v="1"/>
    <s v="Porcelanato 40x40"/>
    <n v="10"/>
    <n v="55"/>
    <n v="550"/>
  </r>
  <r>
    <n v="6"/>
    <d v="2010-10-25T00:00:00"/>
    <x v="0"/>
    <x v="1"/>
    <n v="11"/>
    <x v="2"/>
    <s v="CPFL "/>
    <n v="1"/>
    <n v="40"/>
    <n v="40"/>
  </r>
  <r>
    <n v="5"/>
    <d v="2010-10-20T00:00:00"/>
    <x v="0"/>
    <x v="1"/>
    <n v="10"/>
    <x v="3"/>
    <s v="Habita-se "/>
    <n v="1"/>
    <n v="220"/>
    <n v="220"/>
  </r>
  <r>
    <n v="4"/>
    <d v="2010-10-17T00:00:00"/>
    <x v="0"/>
    <x v="1"/>
    <n v="6"/>
    <x v="4"/>
    <s v="Canduite Korona 50mtrs"/>
    <n v="5"/>
    <n v="44"/>
    <n v="220"/>
  </r>
  <r>
    <n v="3"/>
    <d v="2010-10-16T00:00:00"/>
    <x v="0"/>
    <x v="1"/>
    <n v="3"/>
    <x v="5"/>
    <s v="Tanque Celita Branco"/>
    <n v="3"/>
    <n v="110"/>
    <n v="330"/>
  </r>
  <r>
    <n v="2"/>
    <d v="2010-10-15T00:00:00"/>
    <x v="0"/>
    <x v="1"/>
    <n v="3"/>
    <x v="5"/>
    <s v="Vaso Celita Branco"/>
    <n v="2"/>
    <n v="65"/>
    <n v="130"/>
  </r>
  <r>
    <n v="1"/>
    <d v="2010-10-10T00:00:00"/>
    <x v="0"/>
    <x v="1"/>
    <n v="2"/>
    <x v="6"/>
    <s v="Barra 50p 12 Mtrs Gerdau"/>
    <n v="4"/>
    <n v="50"/>
    <n v="2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7546D2-132C-4AD9-948E-8EA1F007E1BC}" name="Tabela dinâmica4" cacheId="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5" rowHeaderCaption="Mês / Ano">
  <location ref="B3:C14" firstHeaderRow="1" firstDataRow="1" firstDataCol="1"/>
  <pivotFields count="10">
    <pivotField subtotalTop="0" showAll="0"/>
    <pivotField numFmtId="14" subtotalTop="0" showAll="0"/>
    <pivotField subtotalTop="0" showAll="0"/>
    <pivotField axis="axisRow" subtotalTop="0" showAll="0">
      <items count="3">
        <item x="1"/>
        <item x="0"/>
        <item t="default"/>
      </items>
    </pivotField>
    <pivotField subtotalTop="0" showAll="0"/>
    <pivotField axis="axisRow" subtotalTop="0" showAll="0">
      <items count="8">
        <item h="1" x="0"/>
        <item x="1"/>
        <item x="3"/>
        <item x="4"/>
        <item x="6"/>
        <item x="2"/>
        <item x="5"/>
        <item t="default"/>
      </items>
    </pivotField>
    <pivotField subtotalTop="0" showAll="0"/>
    <pivotField subtotalTop="0" showAll="0"/>
    <pivotField numFmtId="44" subtotalTop="0" showAll="0"/>
    <pivotField dataField="1" subtotalTop="0" showAll="0"/>
  </pivotFields>
  <rowFields count="2">
    <field x="3"/>
    <field x="5"/>
  </rowFields>
  <rowItems count="11">
    <i>
      <x/>
    </i>
    <i r="1">
      <x v="2"/>
    </i>
    <i r="1">
      <x v="3"/>
    </i>
    <i r="1">
      <x v="4"/>
    </i>
    <i r="1">
      <x v="5"/>
    </i>
    <i r="1">
      <x v="6"/>
    </i>
    <i t="default">
      <x/>
    </i>
    <i>
      <x v="1"/>
    </i>
    <i r="1">
      <x v="1"/>
    </i>
    <i t="default">
      <x v="1"/>
    </i>
    <i t="grand">
      <x/>
    </i>
  </rowItems>
  <colItems count="1">
    <i/>
  </colItems>
  <dataFields count="1">
    <dataField name="Total Tipo / Mês" fld="9" baseField="0" baseItem="0"/>
  </dataFields>
  <formats count="10">
    <format dxfId="40">
      <pivotArea type="all" dataOnly="0" outline="0" fieldPosition="0"/>
    </format>
    <format dxfId="41">
      <pivotArea outline="0" collapsedLevelsAreSubtotals="1" fieldPosition="0"/>
    </format>
    <format dxfId="42">
      <pivotArea field="3" type="button" dataOnly="0" labelOnly="1" outline="0" axis="axisRow" fieldPosition="0"/>
    </format>
    <format dxfId="43">
      <pivotArea dataOnly="0" labelOnly="1" outline="0" axis="axisValues" fieldPosition="0"/>
    </format>
    <format dxfId="44">
      <pivotArea dataOnly="0" labelOnly="1" fieldPosition="0">
        <references count="1">
          <reference field="3" count="0"/>
        </references>
      </pivotArea>
    </format>
    <format dxfId="45">
      <pivotArea dataOnly="0" labelOnly="1" fieldPosition="0">
        <references count="1">
          <reference field="3" count="0" defaultSubtotal="1"/>
        </references>
      </pivotArea>
    </format>
    <format dxfId="46">
      <pivotArea dataOnly="0" labelOnly="1" grandRow="1" outline="0" fieldPosition="0"/>
    </format>
    <format dxfId="47">
      <pivotArea dataOnly="0" labelOnly="1" fieldPosition="0">
        <references count="2">
          <reference field="3" count="1" selected="0">
            <x v="0"/>
          </reference>
          <reference field="5" count="5">
            <x v="2"/>
            <x v="3"/>
            <x v="4"/>
            <x v="5"/>
            <x v="6"/>
          </reference>
        </references>
      </pivotArea>
    </format>
    <format dxfId="48">
      <pivotArea dataOnly="0" labelOnly="1" fieldPosition="0">
        <references count="2">
          <reference field="3" count="1" selected="0">
            <x v="1"/>
          </reference>
          <reference field="5" count="2">
            <x v="0"/>
            <x v="1"/>
          </reference>
        </references>
      </pivotArea>
    </format>
    <format dxfId="49">
      <pivotArea dataOnly="0" labelOnly="1" outline="0" axis="axisValues" fieldPosition="0"/>
    </format>
  </format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6D5AD8C-74E2-4024-8AE6-3FF5290E221A}" name="Tabela3" displayName="Tabela3" ref="B4:K17" totalsRowCount="1" dataDxfId="65">
  <autoFilter ref="B4:K16" xr:uid="{04BD46B8-3698-49CC-B78B-E7A9A8C91D63}">
    <filterColumn colId="5">
      <filters>
        <filter val="Ceramica"/>
        <filter val="Documentação"/>
        <filter val="Eletrica"/>
        <filter val="Ferragem"/>
        <filter val="Manutenção"/>
        <filter val="Porcelana"/>
      </filters>
    </filterColumn>
  </autoFilter>
  <tableColumns count="10">
    <tableColumn id="1" xr3:uid="{E6788429-0D1E-4AAE-A184-249C1806EE48}" name="Codigo" totalsRowLabel="Total" dataDxfId="64">
      <calculatedColumnFormula>MAX(#REF!)+1</calculatedColumnFormula>
    </tableColumn>
    <tableColumn id="2" xr3:uid="{4948167F-CCAF-4FE3-B54A-517734E814A9}" name="Data" totalsRowFunction="countNums" dataDxfId="62" totalsRowDxfId="63"/>
    <tableColumn id="11" xr3:uid="{CAB4D291-C796-48B2-84B7-AFE175A42DA9}" name="Ano" dataDxfId="60" totalsRowDxfId="61">
      <calculatedColumnFormula>YEAR(C5)</calculatedColumnFormula>
    </tableColumn>
    <tableColumn id="10" xr3:uid="{179DAC83-67AB-486B-83AC-BDB143238557}" name="Mês" dataDxfId="58" totalsRowDxfId="59">
      <calculatedColumnFormula>MONTH(C5)</calculatedColumnFormula>
    </tableColumn>
    <tableColumn id="3" xr3:uid="{55668165-B5D8-438B-97AF-D22FF9360C32}" name="Id Tipo" totalsRowFunction="count" dataDxfId="57"/>
    <tableColumn id="4" xr3:uid="{E8019D49-10F6-4704-985B-3F1758025F23}" name="Descrição Tipo" dataDxfId="56">
      <calculatedColumnFormula>IF(F5=1,"",(IF(F5=2,"Ferragem",(IF(F5=3,"Porcelana",(IF(F5=4,"Metais",(IF(F5=5,"Pintura",(IF(F5=6,"Eletrica",(IF(F5=7,"Hidraulica",(IF(F5=8,"Ceramica",(IF(F5=9,"Calcario",(IF(F5=10,"Documentação",(IF(F5=11,"Manutenção",)))))))))))))))))))))</calculatedColumnFormula>
    </tableColumn>
    <tableColumn id="5" xr3:uid="{4BB3EEEA-9E5C-4F9B-9D4A-565FBD5F097A}" name="Descrição Produto" totalsRowFunction="countNums" dataDxfId="55"/>
    <tableColumn id="6" xr3:uid="{FAD3D4E5-17B2-4501-8514-A6D9E5B0E95A}" name="Quantidade" totalsRowFunction="count" dataDxfId="54"/>
    <tableColumn id="7" xr3:uid="{5036965A-A0C8-4F9C-87CD-DE9549D83F87}" name="Valor Und" dataDxfId="52" totalsRowDxfId="53"/>
    <tableColumn id="8" xr3:uid="{AEAB8DA4-BEBF-4075-A59C-7CEA12BF62F7}" name="Valor Total" totalsRowFunction="sum" dataDxfId="50" totalsRowDxfId="51">
      <calculatedColumnFormula>Tabela3[[#This Row],[Valor Und]]*Tabela3[[#This Row],[Quantidade]]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A6D5C2-8017-489D-B91C-CB499D9C5B55}" name="Tabela1" displayName="Tabela1" ref="B2:B15" totalsRowShown="0">
  <autoFilter ref="B2:B15" xr:uid="{CF3E2143-1197-436F-AF7F-16E93EAC810A}"/>
  <sortState ref="B3:B4">
    <sortCondition ref="B2:B4"/>
  </sortState>
  <tableColumns count="1">
    <tableColumn id="1" xr3:uid="{1CE7FF86-27DD-4760-858B-CC2257D89233}" name="Tipo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0F5E4-169B-4CE9-ABCA-BCF9F41FB8F2}">
  <sheetPr codeName="Planilha1"/>
  <dimension ref="A1:K23"/>
  <sheetViews>
    <sheetView showGridLines="0" tabSelected="1" workbookViewId="0">
      <selection activeCell="J8" sqref="J8"/>
    </sheetView>
  </sheetViews>
  <sheetFormatPr defaultColWidth="0" defaultRowHeight="15" zeroHeight="1" x14ac:dyDescent="0.25"/>
  <cols>
    <col min="1" max="1" width="9.140625" customWidth="1"/>
    <col min="2" max="2" width="9.140625" hidden="1" customWidth="1"/>
    <col min="3" max="3" width="9.140625" customWidth="1"/>
    <col min="4" max="4" width="12.42578125" bestFit="1" customWidth="1"/>
    <col min="5" max="5" width="10.7109375" bestFit="1" customWidth="1"/>
    <col min="6" max="10" width="9.140625" customWidth="1"/>
    <col min="11" max="11" width="0.140625" customWidth="1"/>
    <col min="12" max="16384" width="9.140625" hidden="1"/>
  </cols>
  <sheetData>
    <row r="1" spans="1:11" x14ac:dyDescent="0.25">
      <c r="A1" s="76" t="s">
        <v>10</v>
      </c>
      <c r="B1" s="77"/>
      <c r="C1" s="77"/>
      <c r="D1" s="77"/>
      <c r="E1" s="77"/>
      <c r="F1" s="77"/>
      <c r="G1" s="77"/>
      <c r="H1" s="77"/>
      <c r="I1" s="77"/>
      <c r="J1" s="77"/>
      <c r="K1" s="78"/>
    </row>
    <row r="2" spans="1:11" ht="15.75" thickBot="1" x14ac:dyDescent="0.3">
      <c r="A2" s="79"/>
      <c r="B2" s="80"/>
      <c r="C2" s="80"/>
      <c r="D2" s="80"/>
      <c r="E2" s="80"/>
      <c r="F2" s="80"/>
      <c r="G2" s="80"/>
      <c r="H2" s="80"/>
      <c r="I2" s="80"/>
      <c r="J2" s="80"/>
      <c r="K2" s="81"/>
    </row>
    <row r="3" spans="1:11" x14ac:dyDescent="0.25"/>
    <row r="4" spans="1:11" x14ac:dyDescent="0.25">
      <c r="C4" s="2"/>
      <c r="D4" s="2"/>
      <c r="E4" s="2"/>
      <c r="F4" s="2"/>
      <c r="G4" s="2"/>
      <c r="H4" s="2"/>
      <c r="I4" s="2"/>
    </row>
    <row r="5" spans="1:11" x14ac:dyDescent="0.25">
      <c r="C5" s="2"/>
      <c r="D5" s="4" t="s">
        <v>27</v>
      </c>
      <c r="E5" s="3"/>
      <c r="F5" s="2"/>
      <c r="G5" s="2"/>
      <c r="H5" s="2"/>
      <c r="I5" s="2"/>
    </row>
    <row r="6" spans="1:11" x14ac:dyDescent="0.25">
      <c r="C6" s="2"/>
      <c r="D6" s="4" t="s">
        <v>4</v>
      </c>
      <c r="E6" s="3"/>
      <c r="F6" s="2"/>
      <c r="G6" s="2"/>
      <c r="H6" s="2"/>
      <c r="I6" s="2"/>
    </row>
    <row r="7" spans="1:11" x14ac:dyDescent="0.25">
      <c r="C7" s="2"/>
      <c r="D7" s="2"/>
      <c r="E7" s="2"/>
      <c r="F7" s="2"/>
      <c r="G7" s="2"/>
      <c r="H7" s="2"/>
      <c r="I7" s="2"/>
    </row>
    <row r="8" spans="1:11" x14ac:dyDescent="0.25">
      <c r="C8" s="2"/>
      <c r="D8" s="4" t="s">
        <v>5</v>
      </c>
      <c r="E8" s="9"/>
      <c r="F8" s="69"/>
      <c r="G8" s="70"/>
      <c r="H8" s="2"/>
      <c r="I8" s="2"/>
    </row>
    <row r="9" spans="1:11" x14ac:dyDescent="0.25">
      <c r="C9" s="2"/>
      <c r="D9" s="2"/>
      <c r="E9" s="2"/>
      <c r="F9" s="2"/>
      <c r="G9" s="2"/>
      <c r="H9" s="2"/>
      <c r="I9" s="2"/>
    </row>
    <row r="10" spans="1:11" x14ac:dyDescent="0.25">
      <c r="C10" s="2"/>
      <c r="D10" s="4" t="s">
        <v>6</v>
      </c>
      <c r="E10" s="3"/>
      <c r="F10" s="2"/>
      <c r="G10" s="2"/>
      <c r="H10" s="2"/>
      <c r="I10" s="2"/>
    </row>
    <row r="11" spans="1:11" x14ac:dyDescent="0.25">
      <c r="C11" s="2"/>
      <c r="D11" s="2"/>
      <c r="E11" s="2"/>
      <c r="F11" s="2"/>
      <c r="G11" s="2"/>
      <c r="H11" s="2"/>
      <c r="I11" s="2"/>
    </row>
    <row r="12" spans="1:11" x14ac:dyDescent="0.25">
      <c r="C12" s="2"/>
      <c r="D12" s="4" t="s">
        <v>7</v>
      </c>
      <c r="E12" s="11"/>
      <c r="F12" s="2"/>
      <c r="G12" s="2"/>
      <c r="H12" s="2"/>
      <c r="I12" s="2"/>
    </row>
    <row r="13" spans="1:11" x14ac:dyDescent="0.25">
      <c r="C13" s="2"/>
      <c r="D13" s="2"/>
      <c r="E13" s="2"/>
      <c r="F13" s="2"/>
      <c r="G13" s="2"/>
      <c r="H13" s="2"/>
      <c r="I13" s="2"/>
    </row>
    <row r="14" spans="1:11" x14ac:dyDescent="0.25">
      <c r="C14" s="2"/>
      <c r="D14" s="4" t="s">
        <v>8</v>
      </c>
      <c r="E14" s="10">
        <f>E10*E12</f>
        <v>0</v>
      </c>
      <c r="F14" s="71"/>
      <c r="G14" s="2"/>
      <c r="H14" s="2"/>
      <c r="I14" s="2"/>
    </row>
    <row r="15" spans="1:11" x14ac:dyDescent="0.25">
      <c r="C15" s="2"/>
      <c r="D15" s="2"/>
      <c r="E15" s="2"/>
      <c r="F15" s="2"/>
      <c r="G15" s="2"/>
      <c r="H15" s="2"/>
      <c r="I15" s="2"/>
    </row>
    <row r="16" spans="1:11" x14ac:dyDescent="0.25">
      <c r="C16" s="2"/>
      <c r="D16" s="4" t="s">
        <v>9</v>
      </c>
      <c r="E16" s="20"/>
      <c r="F16" s="2"/>
      <c r="G16" s="2"/>
      <c r="H16" s="2"/>
      <c r="I16" s="2"/>
    </row>
    <row r="17" spans="3:9" x14ac:dyDescent="0.25">
      <c r="C17" s="2"/>
      <c r="D17" s="2"/>
      <c r="E17" s="2"/>
      <c r="F17" s="2"/>
      <c r="G17" s="2"/>
      <c r="H17" s="2"/>
      <c r="I17" s="2"/>
    </row>
    <row r="18" spans="3:9" x14ac:dyDescent="0.25">
      <c r="C18" s="2"/>
      <c r="D18" s="2"/>
      <c r="E18" s="2"/>
      <c r="F18" s="2"/>
      <c r="G18" s="2"/>
      <c r="H18" s="2"/>
      <c r="I18" s="2"/>
    </row>
    <row r="19" spans="3:9" x14ac:dyDescent="0.25">
      <c r="C19" s="2"/>
      <c r="D19" s="2"/>
      <c r="E19" s="2"/>
      <c r="F19" s="2"/>
      <c r="G19" s="2"/>
      <c r="H19" s="2"/>
      <c r="I19" s="2"/>
    </row>
    <row r="20" spans="3:9" x14ac:dyDescent="0.25">
      <c r="C20" s="2"/>
      <c r="D20" s="2"/>
      <c r="E20" s="2"/>
      <c r="F20" s="2"/>
      <c r="G20" s="2"/>
      <c r="H20" s="2"/>
      <c r="I20" s="2"/>
    </row>
    <row r="21" spans="3:9" x14ac:dyDescent="0.25">
      <c r="C21" s="2"/>
      <c r="D21" s="2"/>
      <c r="E21" s="2"/>
      <c r="F21" s="2"/>
      <c r="G21" s="2"/>
      <c r="H21" s="2"/>
      <c r="I21" s="2"/>
    </row>
    <row r="22" spans="3:9" x14ac:dyDescent="0.25"/>
    <row r="23" spans="3:9" x14ac:dyDescent="0.25"/>
  </sheetData>
  <mergeCells count="1">
    <mergeCell ref="A1: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2</xdr:col>
                    <xdr:colOff>9525</xdr:colOff>
                    <xdr:row>3</xdr:row>
                    <xdr:rowOff>19050</xdr:rowOff>
                  </from>
                  <to>
                    <xdr:col>9</xdr:col>
                    <xdr:colOff>9525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4</xdr:col>
                    <xdr:colOff>9525</xdr:colOff>
                    <xdr:row>5</xdr:row>
                    <xdr:rowOff>0</xdr:rowOff>
                  </from>
                  <to>
                    <xdr:col>5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424B6-0CC0-4584-AA31-D2C0559BD3F1}">
  <sheetPr codeName="Planilha2"/>
  <dimension ref="A1:XFD102"/>
  <sheetViews>
    <sheetView showGridLines="0" showRowColHeaders="0" workbookViewId="0">
      <selection activeCell="H29" sqref="H29"/>
    </sheetView>
  </sheetViews>
  <sheetFormatPr defaultColWidth="8.85546875" defaultRowHeight="15" x14ac:dyDescent="0.25"/>
  <cols>
    <col min="1" max="1" width="9.140625" style="5" customWidth="1"/>
    <col min="2" max="2" width="11.42578125" customWidth="1"/>
    <col min="3" max="3" width="10.7109375" bestFit="1" customWidth="1"/>
    <col min="4" max="4" width="10.7109375" customWidth="1"/>
    <col min="5" max="5" width="10.7109375" bestFit="1" customWidth="1"/>
    <col min="6" max="6" width="9.28515625" bestFit="1" customWidth="1"/>
    <col min="7" max="7" width="17.42578125" customWidth="1"/>
    <col min="8" max="8" width="45.140625" customWidth="1"/>
    <col min="9" max="9" width="13.7109375" bestFit="1" customWidth="1"/>
    <col min="10" max="10" width="12.7109375" style="13" customWidth="1"/>
    <col min="11" max="11" width="13.85546875" bestFit="1" customWidth="1"/>
    <col min="12" max="12" width="8.85546875" style="5" customWidth="1"/>
    <col min="13" max="16383" width="8.85546875" customWidth="1"/>
    <col min="16384" max="16384" width="9.140625" customWidth="1"/>
  </cols>
  <sheetData>
    <row r="1" spans="2:12" ht="15.75" thickBot="1" x14ac:dyDescent="0.3">
      <c r="B1" s="6" t="s">
        <v>28</v>
      </c>
      <c r="C1" s="7"/>
    </row>
    <row r="2" spans="2:12" ht="15" customHeight="1" x14ac:dyDescent="0.25">
      <c r="B2" s="82" t="s">
        <v>26</v>
      </c>
      <c r="C2" s="83"/>
      <c r="D2" s="83"/>
      <c r="E2" s="83"/>
      <c r="F2" s="83"/>
      <c r="G2" s="83"/>
      <c r="H2" s="83"/>
      <c r="I2" s="83"/>
      <c r="J2" s="83"/>
      <c r="K2" s="84"/>
    </row>
    <row r="3" spans="2:12" ht="15.75" customHeight="1" thickBot="1" x14ac:dyDescent="0.3">
      <c r="B3" s="85"/>
      <c r="C3" s="86"/>
      <c r="D3" s="86"/>
      <c r="E3" s="86"/>
      <c r="F3" s="86"/>
      <c r="G3" s="86"/>
      <c r="H3" s="86"/>
      <c r="I3" s="86"/>
      <c r="J3" s="86"/>
      <c r="K3" s="87"/>
    </row>
    <row r="4" spans="2:12" ht="12.75" customHeight="1" x14ac:dyDescent="0.25">
      <c r="B4" t="s">
        <v>23</v>
      </c>
      <c r="C4" t="s">
        <v>3</v>
      </c>
      <c r="D4" t="s">
        <v>40</v>
      </c>
      <c r="E4" t="s">
        <v>39</v>
      </c>
      <c r="F4" t="s">
        <v>41</v>
      </c>
      <c r="G4" t="s">
        <v>24</v>
      </c>
      <c r="H4" t="s">
        <v>25</v>
      </c>
      <c r="I4" t="s">
        <v>1</v>
      </c>
      <c r="J4" t="s">
        <v>42</v>
      </c>
      <c r="K4" t="s">
        <v>2</v>
      </c>
    </row>
    <row r="5" spans="2:12" ht="12.75" hidden="1" customHeight="1" x14ac:dyDescent="0.25">
      <c r="B5" s="91">
        <f>MAX(B6:$B$6)+1</f>
        <v>8</v>
      </c>
      <c r="C5" s="20">
        <v>40484</v>
      </c>
      <c r="D5" s="93">
        <f>YEAR(Tabela3[[#This Row],[Data]])</f>
        <v>2010</v>
      </c>
      <c r="E5" s="93">
        <f>MONTH(Tabela3[[#This Row],[Data]])</f>
        <v>11</v>
      </c>
      <c r="F5" s="91"/>
      <c r="G5" s="90">
        <f t="shared" ref="G5:G12" si="0">IF(F5=1,"",(IF(F5=2,"Ferragem",(IF(F5=3,"Porcelana",(IF(F5=4,"Metais",(IF(F5=5,"Pintura",(IF(F5=6,"Eletrica",(IF(F5=7,"Hidraulica",(IF(F5=8,"Ceramica",(IF(F5=9,"Calcario",(IF(F5=10,"Documentação",(IF(F5=11,"Manutenção",)))))))))))))))))))))</f>
        <v>0</v>
      </c>
      <c r="H5" s="90"/>
      <c r="I5" s="92"/>
      <c r="J5" s="92">
        <f>Tabela3[[#This Row],[Quantidade]]*Tabela3[[#This Row],[Descrição Produto]]</f>
        <v>0</v>
      </c>
      <c r="K5">
        <f>Tabela3[[#This Row],[Valor Und]]*Tabela3[[#This Row],[Quantidade]]</f>
        <v>0</v>
      </c>
    </row>
    <row r="6" spans="2:12" ht="12.75" customHeight="1" x14ac:dyDescent="0.25">
      <c r="B6" s="91">
        <f>MAX(B7:$B$7)+1</f>
        <v>7</v>
      </c>
      <c r="C6" s="20">
        <v>40484</v>
      </c>
      <c r="D6" s="88">
        <f t="shared" ref="D6:D16" si="1">YEAR(C6)</f>
        <v>2010</v>
      </c>
      <c r="E6" s="88">
        <f t="shared" ref="E6:E16" si="2">MONTH(C6)</f>
        <v>11</v>
      </c>
      <c r="F6" s="3">
        <v>8</v>
      </c>
      <c r="G6" s="1" t="str">
        <f t="shared" si="0"/>
        <v>Ceramica</v>
      </c>
      <c r="H6" s="89" t="s">
        <v>37</v>
      </c>
      <c r="I6" s="3">
        <v>10</v>
      </c>
      <c r="J6" s="11">
        <v>55</v>
      </c>
      <c r="K6">
        <f>Tabela3[[#This Row],[Valor Und]]*Tabela3[[#This Row],[Quantidade]]</f>
        <v>550</v>
      </c>
    </row>
    <row r="7" spans="2:12" ht="12.75" customHeight="1" x14ac:dyDescent="0.25">
      <c r="B7" s="91">
        <f>MAX(B8:$B$8)+1</f>
        <v>6</v>
      </c>
      <c r="C7" s="20">
        <v>40476</v>
      </c>
      <c r="D7" s="88">
        <f t="shared" si="1"/>
        <v>2010</v>
      </c>
      <c r="E7" s="88">
        <f t="shared" si="2"/>
        <v>10</v>
      </c>
      <c r="F7" s="3">
        <v>11</v>
      </c>
      <c r="G7" s="1" t="str">
        <f t="shared" si="0"/>
        <v>Manutenção</v>
      </c>
      <c r="H7" s="89" t="s">
        <v>36</v>
      </c>
      <c r="I7" s="3">
        <v>1</v>
      </c>
      <c r="J7" s="11">
        <v>40</v>
      </c>
      <c r="K7">
        <f>Tabela3[[#This Row],[Valor Und]]*Tabela3[[#This Row],[Quantidade]]</f>
        <v>40</v>
      </c>
    </row>
    <row r="8" spans="2:12" ht="12.75" customHeight="1" x14ac:dyDescent="0.25">
      <c r="B8" s="91">
        <f>MAX(B9:$B$9)+1</f>
        <v>5</v>
      </c>
      <c r="C8" s="20">
        <v>40471</v>
      </c>
      <c r="D8" s="88">
        <f t="shared" si="1"/>
        <v>2010</v>
      </c>
      <c r="E8" s="88">
        <f t="shared" si="2"/>
        <v>10</v>
      </c>
      <c r="F8" s="3">
        <v>10</v>
      </c>
      <c r="G8" s="1" t="str">
        <f t="shared" si="0"/>
        <v>Documentação</v>
      </c>
      <c r="H8" s="89" t="s">
        <v>35</v>
      </c>
      <c r="I8" s="3">
        <v>1</v>
      </c>
      <c r="J8" s="11">
        <v>220</v>
      </c>
      <c r="K8">
        <f>Tabela3[[#This Row],[Valor Und]]*Tabela3[[#This Row],[Quantidade]]</f>
        <v>220</v>
      </c>
    </row>
    <row r="9" spans="2:12" ht="12.75" customHeight="1" x14ac:dyDescent="0.25">
      <c r="B9" s="91">
        <f>MAX(B10:$B$10)+1</f>
        <v>4</v>
      </c>
      <c r="C9" s="20">
        <v>40468</v>
      </c>
      <c r="D9" s="88">
        <f t="shared" si="1"/>
        <v>2010</v>
      </c>
      <c r="E9" s="88">
        <f t="shared" si="2"/>
        <v>10</v>
      </c>
      <c r="F9" s="3">
        <v>6</v>
      </c>
      <c r="G9" s="1" t="str">
        <f t="shared" si="0"/>
        <v>Eletrica</v>
      </c>
      <c r="H9" s="89" t="s">
        <v>34</v>
      </c>
      <c r="I9" s="3">
        <v>5</v>
      </c>
      <c r="J9" s="11">
        <v>44</v>
      </c>
      <c r="K9">
        <f>Tabela3[[#This Row],[Valor Und]]*Tabela3[[#This Row],[Quantidade]]</f>
        <v>220</v>
      </c>
    </row>
    <row r="10" spans="2:12" ht="12.75" customHeight="1" x14ac:dyDescent="0.25">
      <c r="B10" s="91">
        <f>MAX(B11:$B$11)+1</f>
        <v>3</v>
      </c>
      <c r="C10" s="20">
        <v>40467</v>
      </c>
      <c r="D10" s="88">
        <f t="shared" si="1"/>
        <v>2010</v>
      </c>
      <c r="E10" s="88">
        <f t="shared" si="2"/>
        <v>10</v>
      </c>
      <c r="F10" s="3">
        <v>3</v>
      </c>
      <c r="G10" s="1" t="str">
        <f t="shared" si="0"/>
        <v>Porcelana</v>
      </c>
      <c r="H10" s="89" t="s">
        <v>33</v>
      </c>
      <c r="I10" s="3">
        <v>3</v>
      </c>
      <c r="J10" s="11">
        <v>110</v>
      </c>
      <c r="K10">
        <f>Tabela3[[#This Row],[Valor Und]]*Tabela3[[#This Row],[Quantidade]]</f>
        <v>330</v>
      </c>
    </row>
    <row r="11" spans="2:12" ht="12.75" customHeight="1" x14ac:dyDescent="0.25">
      <c r="B11" s="91">
        <f>MAX(B12:$B$12)+1</f>
        <v>2</v>
      </c>
      <c r="C11" s="20">
        <v>40466</v>
      </c>
      <c r="D11" s="88">
        <f t="shared" si="1"/>
        <v>2010</v>
      </c>
      <c r="E11" s="88">
        <f t="shared" si="2"/>
        <v>10</v>
      </c>
      <c r="F11" s="3">
        <v>3</v>
      </c>
      <c r="G11" s="1" t="str">
        <f t="shared" si="0"/>
        <v>Porcelana</v>
      </c>
      <c r="H11" s="89" t="s">
        <v>32</v>
      </c>
      <c r="I11" s="3">
        <v>2</v>
      </c>
      <c r="J11" s="11">
        <v>65</v>
      </c>
      <c r="K11">
        <f>Tabela3[[#This Row],[Valor Und]]*Tabela3[[#This Row],[Quantidade]]</f>
        <v>130</v>
      </c>
    </row>
    <row r="12" spans="2:12" ht="12.75" customHeight="1" x14ac:dyDescent="0.25">
      <c r="B12" s="91">
        <f>MAX(B13:$B$13)+1</f>
        <v>1</v>
      </c>
      <c r="C12" s="20">
        <v>40461</v>
      </c>
      <c r="D12" s="88">
        <f t="shared" si="1"/>
        <v>2010</v>
      </c>
      <c r="E12" s="88">
        <f t="shared" si="2"/>
        <v>10</v>
      </c>
      <c r="F12" s="3">
        <v>2</v>
      </c>
      <c r="G12" s="64" t="str">
        <f t="shared" si="0"/>
        <v>Ferragem</v>
      </c>
      <c r="H12" s="89" t="s">
        <v>31</v>
      </c>
      <c r="I12" s="3">
        <v>4</v>
      </c>
      <c r="J12" s="11">
        <v>50</v>
      </c>
      <c r="K12" s="67">
        <f>Tabela3[[#This Row],[Valor Und]]*Tabela3[[#This Row],[Quantidade]]</f>
        <v>200</v>
      </c>
    </row>
    <row r="13" spans="2:12" ht="12.75" hidden="1" customHeight="1" x14ac:dyDescent="0.25">
      <c r="B13" s="72">
        <v>0</v>
      </c>
      <c r="C13" s="73" t="s">
        <v>38</v>
      </c>
      <c r="D13" s="73" t="s">
        <v>38</v>
      </c>
      <c r="E13" s="73" t="s">
        <v>38</v>
      </c>
      <c r="F13" s="73" t="s">
        <v>38</v>
      </c>
      <c r="G13" s="73" t="s">
        <v>38</v>
      </c>
      <c r="H13" s="73" t="s">
        <v>38</v>
      </c>
      <c r="I13" s="73" t="s">
        <v>38</v>
      </c>
      <c r="J13" s="73" t="s">
        <v>38</v>
      </c>
      <c r="K13" s="73" t="s">
        <v>38</v>
      </c>
      <c r="L13" s="23"/>
    </row>
    <row r="14" spans="2:12" ht="12.75" hidden="1" customHeight="1" x14ac:dyDescent="0.25">
      <c r="B14" s="59"/>
      <c r="C14" s="22"/>
      <c r="D14" s="22">
        <f t="shared" si="1"/>
        <v>1900</v>
      </c>
      <c r="E14" s="22">
        <f t="shared" si="2"/>
        <v>1</v>
      </c>
      <c r="F14" s="17"/>
      <c r="G14" s="66"/>
      <c r="H14" s="21"/>
      <c r="I14" s="3"/>
      <c r="J14" s="11"/>
      <c r="K14" s="63"/>
      <c r="L14" s="23"/>
    </row>
    <row r="15" spans="2:12" ht="12.75" hidden="1" customHeight="1" x14ac:dyDescent="0.25">
      <c r="B15" s="59"/>
      <c r="C15" s="22"/>
      <c r="D15" s="22">
        <f t="shared" si="1"/>
        <v>1900</v>
      </c>
      <c r="E15" s="22">
        <f t="shared" si="2"/>
        <v>1</v>
      </c>
      <c r="F15" s="17"/>
      <c r="G15" s="66"/>
      <c r="H15" s="21"/>
      <c r="I15" s="3"/>
      <c r="J15" s="11"/>
      <c r="K15" s="63"/>
      <c r="L15" s="23"/>
    </row>
    <row r="16" spans="2:12" ht="12.75" hidden="1" customHeight="1" x14ac:dyDescent="0.25">
      <c r="B16" s="59"/>
      <c r="C16" s="60"/>
      <c r="D16" s="65">
        <f t="shared" si="1"/>
        <v>1900</v>
      </c>
      <c r="E16" s="65">
        <f t="shared" si="2"/>
        <v>1</v>
      </c>
      <c r="F16" s="61"/>
      <c r="G16" s="61"/>
      <c r="H16" s="62"/>
      <c r="I16" s="59"/>
      <c r="J16" s="63"/>
      <c r="K16" s="68"/>
      <c r="L16" s="14"/>
    </row>
    <row r="17" spans="2:12" x14ac:dyDescent="0.25">
      <c r="B17" t="s">
        <v>29</v>
      </c>
      <c r="C17" s="8">
        <f>SUBTOTAL(102,Tabela3[Data])</f>
        <v>7</v>
      </c>
      <c r="D17" s="94"/>
      <c r="E17" s="8"/>
      <c r="F17">
        <f>SUBTOTAL(103,Tabela3[Id Tipo])</f>
        <v>7</v>
      </c>
      <c r="H17">
        <f>SUBTOTAL(102,Tabela3[Descrição Produto])</f>
        <v>0</v>
      </c>
      <c r="I17">
        <f>SUBTOTAL(103,Tabela3[Quantidade])</f>
        <v>7</v>
      </c>
      <c r="K17" s="16">
        <f>SUBTOTAL(109,Tabela3[Valor Total])</f>
        <v>1690</v>
      </c>
      <c r="L17" s="23"/>
    </row>
    <row r="18" spans="2:12" x14ac:dyDescent="0.25">
      <c r="B18" s="49"/>
      <c r="C18" s="48"/>
      <c r="D18" s="45"/>
      <c r="E18" s="50"/>
      <c r="F18" s="44"/>
      <c r="G18" s="46"/>
      <c r="H18" s="47"/>
      <c r="I18" s="51"/>
    </row>
    <row r="19" spans="2:12" x14ac:dyDescent="0.25">
      <c r="B19" s="52"/>
      <c r="C19" s="53"/>
      <c r="D19" s="49"/>
      <c r="E19" s="50"/>
      <c r="F19" s="50"/>
      <c r="G19" s="49"/>
      <c r="H19" s="52"/>
      <c r="I19" s="51"/>
      <c r="J19" s="18"/>
    </row>
    <row r="20" spans="2:12" x14ac:dyDescent="0.25">
      <c r="B20" s="52"/>
      <c r="C20" s="54"/>
      <c r="D20" s="43"/>
      <c r="E20" s="50"/>
      <c r="F20" s="44"/>
      <c r="G20" s="45"/>
      <c r="H20" s="55"/>
      <c r="I20" s="51"/>
      <c r="J20" s="18"/>
    </row>
    <row r="21" spans="2:12" x14ac:dyDescent="0.25">
      <c r="B21" s="52"/>
      <c r="C21" s="54"/>
      <c r="D21" s="43"/>
      <c r="E21" s="50"/>
      <c r="F21" s="44"/>
      <c r="G21" s="45"/>
      <c r="H21" s="55"/>
      <c r="I21" s="51"/>
      <c r="J21" s="18"/>
    </row>
    <row r="22" spans="2:12" x14ac:dyDescent="0.25">
      <c r="B22" s="52"/>
      <c r="C22" s="54"/>
      <c r="D22" s="43"/>
      <c r="E22" s="50"/>
      <c r="F22" s="44"/>
      <c r="G22" s="45"/>
      <c r="H22" s="55"/>
      <c r="I22" s="51"/>
      <c r="J22" s="18"/>
    </row>
    <row r="23" spans="2:12" x14ac:dyDescent="0.25">
      <c r="B23" s="52"/>
      <c r="C23" s="54"/>
      <c r="D23" s="43"/>
      <c r="E23" s="50"/>
      <c r="F23" s="44"/>
      <c r="G23" s="45"/>
      <c r="H23" s="55"/>
      <c r="I23" s="51"/>
      <c r="J23" s="18"/>
    </row>
    <row r="24" spans="2:12" x14ac:dyDescent="0.25">
      <c r="B24" s="52"/>
      <c r="C24" s="54"/>
      <c r="D24" s="43"/>
      <c r="E24" s="50"/>
      <c r="F24" s="44"/>
      <c r="G24" s="45"/>
      <c r="H24" s="55"/>
      <c r="I24" s="51"/>
      <c r="J24" s="18"/>
    </row>
    <row r="25" spans="2:12" x14ac:dyDescent="0.25">
      <c r="B25" s="52"/>
      <c r="C25" s="54"/>
      <c r="D25" s="43"/>
      <c r="E25" s="52"/>
      <c r="F25" s="44"/>
      <c r="G25" s="45"/>
      <c r="H25" s="55"/>
      <c r="I25" s="52"/>
      <c r="J25" s="18"/>
    </row>
    <row r="26" spans="2:12" x14ac:dyDescent="0.25">
      <c r="B26" s="52"/>
      <c r="C26" s="54"/>
      <c r="D26" s="43"/>
      <c r="E26" s="52"/>
      <c r="F26" s="44"/>
      <c r="G26" s="45"/>
      <c r="H26" s="55"/>
      <c r="I26" s="52"/>
      <c r="J26" s="18"/>
    </row>
    <row r="27" spans="2:12" x14ac:dyDescent="0.25">
      <c r="B27" s="52"/>
      <c r="C27" s="54"/>
      <c r="D27" s="43"/>
      <c r="E27" s="52"/>
      <c r="F27" s="44"/>
      <c r="G27" s="45"/>
      <c r="H27" s="55"/>
      <c r="I27" s="52"/>
      <c r="J27" s="18"/>
    </row>
    <row r="28" spans="2:12" x14ac:dyDescent="0.25">
      <c r="B28" s="52"/>
      <c r="C28" s="54"/>
      <c r="D28" s="43"/>
      <c r="E28" s="52"/>
      <c r="F28" s="44"/>
      <c r="G28" s="45"/>
      <c r="H28" s="55"/>
      <c r="I28" s="52"/>
      <c r="J28" s="18"/>
    </row>
    <row r="29" spans="2:12" x14ac:dyDescent="0.25">
      <c r="B29" s="52"/>
      <c r="C29" s="54"/>
      <c r="D29" s="43"/>
      <c r="E29" s="52"/>
      <c r="F29" s="44"/>
      <c r="G29" s="45"/>
      <c r="H29" s="55"/>
      <c r="I29" s="52"/>
      <c r="J29" s="18"/>
    </row>
    <row r="30" spans="2:12" x14ac:dyDescent="0.25">
      <c r="B30" s="56"/>
      <c r="C30" s="54"/>
      <c r="D30" s="43"/>
      <c r="E30" s="52"/>
      <c r="F30" s="44"/>
      <c r="G30" s="45"/>
      <c r="H30" s="55"/>
      <c r="I30" s="57"/>
      <c r="J30" s="18"/>
    </row>
    <row r="31" spans="2:12" x14ac:dyDescent="0.25">
      <c r="B31" s="58"/>
      <c r="C31" s="54"/>
      <c r="D31" s="43"/>
      <c r="E31" s="50"/>
      <c r="F31" s="44"/>
      <c r="G31" s="45"/>
      <c r="H31" s="55"/>
      <c r="I31" s="51"/>
    </row>
    <row r="32" spans="2:12" x14ac:dyDescent="0.25">
      <c r="B32" s="52"/>
      <c r="C32" s="52"/>
      <c r="D32" s="52"/>
      <c r="E32" s="52"/>
      <c r="F32" s="52"/>
      <c r="G32" s="52"/>
      <c r="H32" s="52"/>
      <c r="I32" s="52"/>
      <c r="J32" s="18"/>
    </row>
    <row r="33" spans="2:10" x14ac:dyDescent="0.25">
      <c r="B33" s="38"/>
      <c r="C33" s="28"/>
      <c r="D33" s="29"/>
      <c r="E33" s="39"/>
      <c r="F33" s="29"/>
      <c r="G33" s="26"/>
      <c r="H33" s="30"/>
      <c r="I33" s="40"/>
      <c r="J33" s="18"/>
    </row>
    <row r="34" spans="2:10" x14ac:dyDescent="0.25">
      <c r="B34" s="38"/>
      <c r="C34" s="31"/>
      <c r="D34" s="26"/>
      <c r="E34" s="39"/>
      <c r="F34" s="29"/>
      <c r="G34" s="26"/>
      <c r="H34" s="32"/>
      <c r="I34" s="39"/>
      <c r="J34" s="18"/>
    </row>
    <row r="35" spans="2:10" x14ac:dyDescent="0.25">
      <c r="B35" s="38"/>
      <c r="C35" s="31"/>
      <c r="D35" s="26"/>
      <c r="E35" s="39"/>
      <c r="F35" s="29"/>
      <c r="G35" s="26"/>
      <c r="H35" s="32"/>
      <c r="I35" s="39"/>
      <c r="J35" s="18"/>
    </row>
    <row r="36" spans="2:10" x14ac:dyDescent="0.25">
      <c r="B36" s="38"/>
      <c r="C36" s="31"/>
      <c r="D36" s="26"/>
      <c r="E36" s="39"/>
      <c r="F36" s="29"/>
      <c r="G36" s="26"/>
      <c r="H36" s="32"/>
      <c r="I36" s="39"/>
      <c r="J36" s="18"/>
    </row>
    <row r="37" spans="2:10" x14ac:dyDescent="0.25">
      <c r="B37" s="38"/>
      <c r="C37" s="31"/>
      <c r="D37" s="26"/>
      <c r="E37" s="39"/>
      <c r="F37" s="29"/>
      <c r="G37" s="26"/>
      <c r="H37" s="32"/>
      <c r="I37" s="39"/>
      <c r="J37" s="18"/>
    </row>
    <row r="38" spans="2:10" x14ac:dyDescent="0.25">
      <c r="B38" s="38"/>
      <c r="C38" s="31"/>
      <c r="D38" s="26"/>
      <c r="E38" s="39"/>
      <c r="F38" s="29"/>
      <c r="G38" s="26"/>
      <c r="H38" s="32"/>
      <c r="I38" s="39"/>
      <c r="J38" s="18"/>
    </row>
    <row r="39" spans="2:10" x14ac:dyDescent="0.25">
      <c r="B39" s="38"/>
      <c r="C39" s="31"/>
      <c r="D39" s="26"/>
      <c r="E39" s="39"/>
      <c r="F39" s="29"/>
      <c r="G39" s="26"/>
      <c r="H39" s="32"/>
      <c r="I39" s="39"/>
      <c r="J39" s="18"/>
    </row>
    <row r="40" spans="2:10" x14ac:dyDescent="0.25">
      <c r="B40" s="38"/>
      <c r="C40" s="31"/>
      <c r="D40" s="26"/>
      <c r="E40" s="39"/>
      <c r="F40" s="29"/>
      <c r="G40" s="26"/>
      <c r="H40" s="32"/>
      <c r="I40" s="39"/>
      <c r="J40" s="18"/>
    </row>
    <row r="41" spans="2:10" x14ac:dyDescent="0.25">
      <c r="B41" s="38"/>
      <c r="C41" s="31"/>
      <c r="D41" s="26"/>
      <c r="E41" s="39"/>
      <c r="F41" s="29"/>
      <c r="G41" s="26"/>
      <c r="H41" s="32"/>
      <c r="I41" s="39"/>
      <c r="J41" s="18"/>
    </row>
    <row r="42" spans="2:10" x14ac:dyDescent="0.25">
      <c r="B42" s="38"/>
      <c r="C42" s="31"/>
      <c r="D42" s="26"/>
      <c r="E42" s="39"/>
      <c r="F42" s="29"/>
      <c r="G42" s="26"/>
      <c r="H42" s="32"/>
      <c r="I42" s="39"/>
      <c r="J42" s="18"/>
    </row>
    <row r="43" spans="2:10" x14ac:dyDescent="0.25">
      <c r="B43" s="38"/>
      <c r="C43" s="31"/>
      <c r="D43" s="26"/>
      <c r="E43" s="39"/>
      <c r="F43" s="29"/>
      <c r="G43" s="26"/>
      <c r="H43" s="32"/>
      <c r="I43" s="39"/>
      <c r="J43" s="18"/>
    </row>
    <row r="44" spans="2:10" x14ac:dyDescent="0.25">
      <c r="B44" s="38"/>
      <c r="C44" s="31"/>
      <c r="D44" s="26"/>
      <c r="E44" s="39"/>
      <c r="F44" s="29"/>
      <c r="G44" s="26"/>
      <c r="H44" s="32"/>
      <c r="I44" s="40"/>
      <c r="J44" s="18"/>
    </row>
    <row r="45" spans="2:10" x14ac:dyDescent="0.25">
      <c r="B45" s="38"/>
      <c r="C45" s="31"/>
      <c r="D45" s="26"/>
      <c r="E45" s="39"/>
      <c r="F45" s="29"/>
      <c r="G45" s="26"/>
      <c r="H45" s="32"/>
      <c r="I45" s="39"/>
      <c r="J45" s="18"/>
    </row>
    <row r="46" spans="2:10" x14ac:dyDescent="0.25">
      <c r="B46" s="38"/>
      <c r="C46" s="31"/>
      <c r="D46" s="26"/>
      <c r="E46" s="39"/>
      <c r="F46" s="29"/>
      <c r="G46" s="26"/>
      <c r="H46" s="32"/>
      <c r="I46" s="39"/>
      <c r="J46" s="18"/>
    </row>
    <row r="47" spans="2:10" x14ac:dyDescent="0.25">
      <c r="B47" s="38"/>
      <c r="C47" s="31"/>
      <c r="D47" s="26"/>
      <c r="E47" s="39"/>
      <c r="F47" s="29"/>
      <c r="G47" s="26"/>
      <c r="H47" s="32"/>
      <c r="I47" s="40"/>
      <c r="J47" s="18"/>
    </row>
    <row r="48" spans="2:10" x14ac:dyDescent="0.25">
      <c r="B48" s="38"/>
      <c r="C48" s="31"/>
      <c r="D48" s="26"/>
      <c r="E48" s="39"/>
      <c r="F48" s="29"/>
      <c r="G48" s="26"/>
      <c r="H48" s="32"/>
      <c r="I48" s="39"/>
      <c r="J48" s="18"/>
    </row>
    <row r="49" spans="1:10" x14ac:dyDescent="0.25">
      <c r="B49" s="38"/>
      <c r="C49" s="31"/>
      <c r="D49" s="26"/>
      <c r="E49" s="39"/>
      <c r="F49" s="29"/>
      <c r="G49" s="26"/>
      <c r="H49" s="32"/>
      <c r="I49" s="39"/>
      <c r="J49" s="18"/>
    </row>
    <row r="50" spans="1:10" x14ac:dyDescent="0.25">
      <c r="B50" s="38"/>
      <c r="C50" s="31"/>
      <c r="D50" s="26"/>
      <c r="E50" s="39"/>
      <c r="F50" s="29"/>
      <c r="G50" s="26"/>
      <c r="H50" s="32"/>
      <c r="I50" s="39"/>
      <c r="J50" s="18"/>
    </row>
    <row r="51" spans="1:10" x14ac:dyDescent="0.25">
      <c r="B51" s="38"/>
      <c r="C51" s="31"/>
      <c r="D51" s="26"/>
      <c r="E51" s="39"/>
      <c r="F51" s="29"/>
      <c r="G51" s="26"/>
      <c r="H51" s="32"/>
      <c r="I51" s="39"/>
      <c r="J51" s="18"/>
    </row>
    <row r="52" spans="1:10" x14ac:dyDescent="0.25">
      <c r="B52" s="38"/>
      <c r="C52" s="31"/>
      <c r="D52" s="26"/>
      <c r="E52" s="39"/>
      <c r="F52" s="29"/>
      <c r="G52" s="26"/>
      <c r="H52" s="32"/>
      <c r="I52" s="39"/>
      <c r="J52" s="18"/>
    </row>
    <row r="53" spans="1:10" ht="15" hidden="1" customHeight="1" x14ac:dyDescent="0.25">
      <c r="B53" s="38"/>
      <c r="C53" s="31"/>
      <c r="D53" s="26"/>
      <c r="E53" s="39"/>
      <c r="F53" s="29"/>
      <c r="G53" s="26"/>
      <c r="H53" s="32"/>
      <c r="I53" s="39"/>
      <c r="J53" s="18"/>
    </row>
    <row r="54" spans="1:10" ht="15" hidden="1" customHeight="1" x14ac:dyDescent="0.25">
      <c r="B54" s="38"/>
      <c r="C54" s="31"/>
      <c r="D54" s="26"/>
      <c r="E54" s="39"/>
      <c r="F54" s="29"/>
      <c r="G54" s="26"/>
      <c r="H54" s="32"/>
      <c r="I54" s="39"/>
      <c r="J54" s="18"/>
    </row>
    <row r="55" spans="1:10" ht="15" hidden="1" customHeight="1" x14ac:dyDescent="0.25">
      <c r="B55" s="38"/>
      <c r="C55" s="31"/>
      <c r="D55" s="26"/>
      <c r="E55" s="39"/>
      <c r="F55" s="29"/>
      <c r="G55" s="26"/>
      <c r="H55" s="32"/>
      <c r="I55" s="39"/>
      <c r="J55" s="18"/>
    </row>
    <row r="56" spans="1:10" ht="15" hidden="1" customHeight="1" x14ac:dyDescent="0.25">
      <c r="B56" s="38"/>
      <c r="C56" s="31"/>
      <c r="D56" s="26"/>
      <c r="E56" s="39"/>
      <c r="F56" s="29"/>
      <c r="G56" s="26"/>
      <c r="H56" s="32"/>
      <c r="I56" s="39"/>
      <c r="J56" s="18"/>
    </row>
    <row r="57" spans="1:10" hidden="1" x14ac:dyDescent="0.25">
      <c r="A57" s="25"/>
      <c r="B57" s="41"/>
      <c r="C57" s="31"/>
      <c r="D57" s="26"/>
      <c r="E57" s="39"/>
      <c r="F57" s="29"/>
      <c r="G57" s="26"/>
      <c r="H57" s="32"/>
      <c r="I57" s="40"/>
      <c r="J57" s="18"/>
    </row>
    <row r="58" spans="1:10" x14ac:dyDescent="0.25">
      <c r="B58" s="38"/>
      <c r="C58" s="31"/>
      <c r="D58" s="26"/>
      <c r="E58" s="39"/>
      <c r="F58" s="29"/>
      <c r="G58" s="26"/>
      <c r="H58" s="32"/>
      <c r="I58" s="40"/>
      <c r="J58" s="18"/>
    </row>
    <row r="59" spans="1:10" x14ac:dyDescent="0.25">
      <c r="B59" s="38"/>
      <c r="C59" s="31"/>
      <c r="D59" s="26"/>
      <c r="E59" s="39"/>
      <c r="F59" s="29"/>
      <c r="G59" s="26"/>
      <c r="H59" s="32"/>
      <c r="I59" s="39"/>
      <c r="J59" s="18"/>
    </row>
    <row r="60" spans="1:10" ht="15" hidden="1" customHeight="1" x14ac:dyDescent="0.25">
      <c r="B60" s="38"/>
      <c r="C60" s="31"/>
      <c r="D60" s="26"/>
      <c r="E60" s="39"/>
      <c r="F60" s="29"/>
      <c r="G60" s="26"/>
      <c r="H60" s="32"/>
      <c r="I60" s="39"/>
      <c r="J60" s="18"/>
    </row>
    <row r="61" spans="1:10" x14ac:dyDescent="0.25">
      <c r="B61" s="38"/>
      <c r="C61" s="31"/>
      <c r="D61" s="26"/>
      <c r="E61" s="39"/>
      <c r="F61" s="29"/>
      <c r="G61" s="26"/>
      <c r="H61" s="32"/>
      <c r="I61" s="39"/>
      <c r="J61" s="18"/>
    </row>
    <row r="62" spans="1:10" x14ac:dyDescent="0.25">
      <c r="B62" s="38"/>
      <c r="C62" s="31"/>
      <c r="D62" s="26"/>
      <c r="E62" s="39"/>
      <c r="F62" s="29"/>
      <c r="G62" s="26"/>
      <c r="H62" s="32"/>
      <c r="I62" s="39"/>
      <c r="J62" s="18"/>
    </row>
    <row r="63" spans="1:10" x14ac:dyDescent="0.25">
      <c r="B63" s="26"/>
      <c r="C63" s="31"/>
      <c r="D63" s="26"/>
      <c r="E63" s="29"/>
      <c r="F63" s="29"/>
      <c r="G63" s="26"/>
      <c r="H63" s="32"/>
      <c r="I63" s="29"/>
      <c r="J63" s="18"/>
    </row>
    <row r="64" spans="1:10" x14ac:dyDescent="0.25">
      <c r="B64" s="26"/>
      <c r="C64" s="31"/>
      <c r="D64" s="26"/>
      <c r="E64" s="29"/>
      <c r="F64" s="29"/>
      <c r="G64" s="26"/>
      <c r="H64" s="32"/>
      <c r="I64" s="29"/>
      <c r="J64" s="18"/>
    </row>
    <row r="65" spans="1:10" x14ac:dyDescent="0.25">
      <c r="B65" s="26"/>
      <c r="C65" s="31"/>
      <c r="D65" s="26"/>
      <c r="E65" s="29"/>
      <c r="F65" s="29"/>
      <c r="G65" s="26"/>
      <c r="H65" s="32"/>
      <c r="I65" s="29"/>
      <c r="J65" s="18"/>
    </row>
    <row r="66" spans="1:10" x14ac:dyDescent="0.25">
      <c r="B66" s="26"/>
      <c r="C66" s="31"/>
      <c r="D66" s="26"/>
      <c r="E66" s="29"/>
      <c r="F66" s="29"/>
      <c r="G66" s="26"/>
      <c r="H66" s="32"/>
      <c r="I66" s="29"/>
      <c r="J66" s="18"/>
    </row>
    <row r="67" spans="1:10" x14ac:dyDescent="0.25">
      <c r="B67" s="26"/>
      <c r="C67" s="31"/>
      <c r="D67" s="26"/>
      <c r="E67" s="29"/>
      <c r="F67" s="29"/>
      <c r="G67" s="26"/>
      <c r="H67" s="32"/>
      <c r="I67" s="29"/>
      <c r="J67" s="18"/>
    </row>
    <row r="68" spans="1:10" x14ac:dyDescent="0.25">
      <c r="A68" s="24"/>
      <c r="B68" s="26"/>
      <c r="C68" s="31"/>
      <c r="D68" s="26"/>
      <c r="E68" s="29"/>
      <c r="F68" s="29"/>
      <c r="G68" s="26"/>
      <c r="H68" s="32"/>
      <c r="I68" s="29"/>
      <c r="J68" s="18"/>
    </row>
    <row r="69" spans="1:10" x14ac:dyDescent="0.25">
      <c r="B69" s="26"/>
      <c r="C69" s="31"/>
      <c r="D69" s="26"/>
      <c r="E69" s="29"/>
      <c r="F69" s="29"/>
      <c r="G69" s="26"/>
      <c r="H69" s="32"/>
      <c r="I69" s="29"/>
      <c r="J69" s="18"/>
    </row>
    <row r="70" spans="1:10" x14ac:dyDescent="0.25">
      <c r="B70" s="26"/>
      <c r="C70" s="31"/>
      <c r="D70" s="26"/>
      <c r="E70" s="29"/>
      <c r="F70" s="29"/>
      <c r="G70" s="26"/>
      <c r="H70" s="32"/>
      <c r="I70" s="29"/>
      <c r="J70" s="18"/>
    </row>
    <row r="71" spans="1:10" x14ac:dyDescent="0.25">
      <c r="B71" s="26"/>
      <c r="C71" s="31"/>
      <c r="D71" s="26"/>
      <c r="E71" s="29"/>
      <c r="F71" s="29"/>
      <c r="G71" s="26"/>
      <c r="H71" s="32"/>
      <c r="I71" s="29"/>
      <c r="J71" s="18"/>
    </row>
    <row r="72" spans="1:10" x14ac:dyDescent="0.25">
      <c r="B72" s="26"/>
      <c r="C72" s="31"/>
      <c r="D72" s="26"/>
      <c r="E72" s="29"/>
      <c r="F72" s="29"/>
      <c r="G72" s="26"/>
      <c r="H72" s="32"/>
      <c r="I72" s="29"/>
      <c r="J72" s="18"/>
    </row>
    <row r="73" spans="1:10" x14ac:dyDescent="0.25">
      <c r="B73" s="26"/>
      <c r="C73" s="31"/>
      <c r="D73" s="26"/>
      <c r="E73" s="29"/>
      <c r="F73" s="29"/>
      <c r="G73" s="26"/>
      <c r="H73" s="32"/>
      <c r="I73" s="29"/>
      <c r="J73" s="18"/>
    </row>
    <row r="74" spans="1:10" x14ac:dyDescent="0.25">
      <c r="B74" s="26"/>
      <c r="C74" s="31"/>
      <c r="D74" s="26"/>
      <c r="E74" s="29"/>
      <c r="F74" s="29"/>
      <c r="G74" s="26"/>
      <c r="H74" s="32"/>
      <c r="I74" s="29"/>
      <c r="J74" s="18"/>
    </row>
    <row r="75" spans="1:10" x14ac:dyDescent="0.25">
      <c r="B75" s="26"/>
      <c r="C75" s="31"/>
      <c r="D75" s="26"/>
      <c r="E75" s="29"/>
      <c r="F75" s="29"/>
      <c r="G75" s="26"/>
      <c r="H75" s="32"/>
      <c r="I75" s="29"/>
      <c r="J75" s="18"/>
    </row>
    <row r="76" spans="1:10" x14ac:dyDescent="0.25">
      <c r="B76" s="26"/>
      <c r="C76" s="31"/>
      <c r="D76" s="26"/>
      <c r="E76" s="29"/>
      <c r="F76" s="29"/>
      <c r="G76" s="26"/>
      <c r="H76" s="32"/>
      <c r="I76" s="42"/>
      <c r="J76" s="15"/>
    </row>
    <row r="77" spans="1:10" x14ac:dyDescent="0.25">
      <c r="B77" s="26"/>
      <c r="C77" s="31"/>
      <c r="D77" s="26"/>
      <c r="E77" s="29"/>
      <c r="F77" s="29"/>
      <c r="G77" s="26"/>
      <c r="H77" s="32"/>
      <c r="I77" s="30"/>
      <c r="J77" s="15"/>
    </row>
    <row r="78" spans="1:10" x14ac:dyDescent="0.25">
      <c r="B78" s="18"/>
      <c r="C78" s="29"/>
      <c r="D78" s="26"/>
      <c r="E78" s="26"/>
      <c r="F78" s="12"/>
      <c r="G78" s="18"/>
      <c r="H78" s="27"/>
      <c r="I78" s="15"/>
      <c r="J78" s="15"/>
    </row>
    <row r="79" spans="1:10" x14ac:dyDescent="0.25">
      <c r="B79" s="18"/>
      <c r="C79" s="29"/>
      <c r="D79" s="26"/>
      <c r="E79" s="26"/>
      <c r="F79" s="12"/>
      <c r="G79" s="18"/>
      <c r="H79" s="27"/>
      <c r="I79" s="15"/>
      <c r="J79" s="15"/>
    </row>
    <row r="80" spans="1:10" x14ac:dyDescent="0.25">
      <c r="B80" s="18"/>
      <c r="C80" s="29"/>
      <c r="D80" s="26"/>
      <c r="E80" s="26"/>
      <c r="F80" s="12"/>
      <c r="G80" s="18"/>
      <c r="H80" s="27"/>
      <c r="I80" s="15"/>
      <c r="J80" s="15"/>
    </row>
    <row r="81" spans="2:10" x14ac:dyDescent="0.25">
      <c r="B81" s="18"/>
      <c r="C81" s="29"/>
      <c r="D81" s="26"/>
      <c r="E81" s="26"/>
      <c r="F81" s="12"/>
      <c r="G81" s="18"/>
      <c r="H81" s="27"/>
      <c r="I81" s="15"/>
      <c r="J81" s="15"/>
    </row>
    <row r="82" spans="2:10" x14ac:dyDescent="0.25">
      <c r="B82" s="18"/>
      <c r="C82" s="29"/>
      <c r="D82" s="26"/>
      <c r="E82" s="26"/>
      <c r="F82" s="12"/>
      <c r="G82" s="18"/>
      <c r="H82" s="27"/>
      <c r="I82" s="15"/>
      <c r="J82" s="15"/>
    </row>
    <row r="83" spans="2:10" x14ac:dyDescent="0.25">
      <c r="B83" s="18"/>
      <c r="C83" s="29"/>
      <c r="D83" s="26"/>
      <c r="E83" s="26"/>
      <c r="F83" s="12"/>
      <c r="G83" s="18"/>
      <c r="H83" s="27"/>
      <c r="I83" s="15"/>
      <c r="J83" s="15"/>
    </row>
    <row r="84" spans="2:10" x14ac:dyDescent="0.25">
      <c r="B84" s="18"/>
      <c r="C84" s="29"/>
      <c r="D84" s="26"/>
      <c r="E84" s="26"/>
      <c r="F84" s="12"/>
      <c r="G84" s="18"/>
      <c r="H84" s="27"/>
      <c r="I84" s="15"/>
      <c r="J84" s="15"/>
    </row>
    <row r="85" spans="2:10" x14ac:dyDescent="0.25">
      <c r="B85" s="33"/>
      <c r="C85" s="29"/>
      <c r="D85" s="26"/>
      <c r="E85" s="26"/>
      <c r="F85" s="12"/>
      <c r="G85" s="18"/>
      <c r="H85" s="27"/>
      <c r="I85" s="15"/>
      <c r="J85" s="15"/>
    </row>
    <row r="86" spans="2:10" x14ac:dyDescent="0.25">
      <c r="B86" s="26"/>
      <c r="C86" s="29"/>
      <c r="D86" s="26"/>
      <c r="E86" s="26"/>
      <c r="F86" s="12"/>
      <c r="G86" s="18"/>
      <c r="H86" s="27"/>
      <c r="I86" s="15"/>
    </row>
    <row r="87" spans="2:10" x14ac:dyDescent="0.25">
      <c r="B87" s="29"/>
      <c r="C87" s="29"/>
      <c r="D87" s="29"/>
      <c r="E87" s="29"/>
      <c r="F87" s="29"/>
      <c r="G87" s="29"/>
      <c r="H87" s="29"/>
      <c r="I87" s="30"/>
    </row>
    <row r="88" spans="2:10" x14ac:dyDescent="0.25">
      <c r="B88" s="34"/>
      <c r="C88" s="35"/>
      <c r="D88" s="18"/>
      <c r="E88" s="12"/>
      <c r="F88" s="29"/>
      <c r="G88" s="18"/>
      <c r="H88" s="27"/>
      <c r="I88" s="36"/>
      <c r="J88" s="15"/>
    </row>
    <row r="89" spans="2:10" x14ac:dyDescent="0.25">
      <c r="B89" s="12"/>
      <c r="C89" s="35"/>
      <c r="D89" s="18"/>
      <c r="E89" s="12"/>
      <c r="F89" s="29"/>
      <c r="G89" s="18"/>
      <c r="H89" s="27"/>
      <c r="I89" s="15"/>
      <c r="J89" s="15"/>
    </row>
    <row r="90" spans="2:10" x14ac:dyDescent="0.25">
      <c r="B90" s="29"/>
      <c r="C90" s="35"/>
      <c r="D90" s="18"/>
      <c r="E90" s="29"/>
      <c r="F90" s="12"/>
      <c r="G90" s="18"/>
      <c r="H90" s="27"/>
      <c r="I90" s="15"/>
      <c r="J90" s="15"/>
    </row>
    <row r="91" spans="2:10" x14ac:dyDescent="0.25">
      <c r="B91" s="29"/>
      <c r="C91" s="35"/>
      <c r="D91" s="18"/>
      <c r="E91" s="29"/>
      <c r="F91" s="12"/>
      <c r="G91" s="18"/>
      <c r="H91" s="27"/>
      <c r="I91" s="15"/>
      <c r="J91" s="15"/>
    </row>
    <row r="92" spans="2:10" x14ac:dyDescent="0.25">
      <c r="B92" s="29"/>
      <c r="C92" s="35"/>
      <c r="D92" s="18"/>
      <c r="E92" s="29"/>
      <c r="F92" s="12"/>
      <c r="G92" s="18"/>
      <c r="H92" s="27"/>
      <c r="I92" s="15"/>
      <c r="J92" s="15"/>
    </row>
    <row r="93" spans="2:10" x14ac:dyDescent="0.25">
      <c r="B93" s="29"/>
      <c r="C93" s="35"/>
      <c r="D93" s="18"/>
      <c r="E93" s="29"/>
      <c r="F93" s="12"/>
      <c r="G93" s="18"/>
      <c r="H93" s="27"/>
      <c r="I93" s="15"/>
      <c r="J93" s="15"/>
    </row>
    <row r="94" spans="2:10" x14ac:dyDescent="0.25">
      <c r="B94" s="29"/>
      <c r="C94" s="35"/>
      <c r="D94" s="18"/>
      <c r="E94" s="29"/>
      <c r="F94" s="12"/>
      <c r="G94" s="18"/>
      <c r="H94" s="27"/>
      <c r="I94" s="15"/>
      <c r="J94" s="15"/>
    </row>
    <row r="95" spans="2:10" x14ac:dyDescent="0.25">
      <c r="B95" s="29"/>
      <c r="C95" s="35"/>
      <c r="D95" s="18"/>
      <c r="E95" s="29"/>
      <c r="F95" s="12"/>
      <c r="G95" s="18"/>
      <c r="H95" s="27"/>
      <c r="I95" s="15"/>
      <c r="J95" s="15"/>
    </row>
    <row r="96" spans="2:10" x14ac:dyDescent="0.25">
      <c r="B96" s="29"/>
      <c r="C96" s="35"/>
      <c r="D96" s="18"/>
      <c r="E96" s="29"/>
      <c r="F96" s="12"/>
      <c r="G96" s="18"/>
      <c r="H96" s="27"/>
      <c r="I96" s="15"/>
      <c r="J96" s="15"/>
    </row>
    <row r="97" spans="2:10" x14ac:dyDescent="0.25">
      <c r="B97" s="37"/>
      <c r="C97" s="35"/>
      <c r="D97" s="18"/>
      <c r="E97" s="29"/>
      <c r="F97" s="12"/>
      <c r="G97" s="18"/>
      <c r="H97" s="27"/>
      <c r="I97" s="15"/>
      <c r="J97" s="15"/>
    </row>
    <row r="98" spans="2:10" x14ac:dyDescent="0.25">
      <c r="B98" s="26"/>
      <c r="C98" s="18"/>
      <c r="D98" s="18"/>
      <c r="E98" s="18"/>
      <c r="F98" s="12"/>
      <c r="G98" s="18"/>
      <c r="H98" s="27"/>
      <c r="I98" s="15"/>
    </row>
    <row r="99" spans="2:10" x14ac:dyDescent="0.25">
      <c r="B99" s="12"/>
      <c r="C99" s="18"/>
      <c r="D99" s="18"/>
      <c r="E99" s="18"/>
      <c r="F99" s="18"/>
      <c r="G99" s="18"/>
      <c r="H99" s="18"/>
      <c r="I99" s="19"/>
    </row>
    <row r="100" spans="2:10" x14ac:dyDescent="0.25">
      <c r="B100" s="12"/>
      <c r="C100" s="18"/>
      <c r="D100" s="18"/>
      <c r="E100" s="18"/>
      <c r="F100" s="18"/>
      <c r="G100" s="18"/>
      <c r="H100" s="18"/>
      <c r="I100" s="19"/>
    </row>
    <row r="101" spans="2:10" x14ac:dyDescent="0.25">
      <c r="B101" s="12"/>
      <c r="C101" s="18"/>
      <c r="D101" s="18"/>
      <c r="E101" s="18"/>
      <c r="F101" s="18"/>
      <c r="G101" s="18"/>
      <c r="H101" s="18"/>
      <c r="I101" s="19"/>
    </row>
    <row r="102" spans="2:10" x14ac:dyDescent="0.25">
      <c r="B102" s="12"/>
      <c r="C102" s="18"/>
      <c r="D102" s="18"/>
      <c r="E102" s="18"/>
      <c r="F102" s="18"/>
      <c r="G102" s="18"/>
      <c r="H102" s="18"/>
      <c r="I102" s="19"/>
    </row>
  </sheetData>
  <mergeCells count="1">
    <mergeCell ref="B2:K3"/>
  </mergeCells>
  <pageMargins left="0.511811024" right="0.511811024" top="0.78740157499999996" bottom="0.78740157499999996" header="0.31496062000000002" footer="0.31496062000000002"/>
  <ignoredErrors>
    <ignoredError sqref="D13:E13 B6:B13 G13 D5:E5" calculatedColumn="1"/>
  </ignoredErrors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BA37-EE4B-4340-8D82-D1B616B6C6FA}">
  <dimension ref="B2:C14"/>
  <sheetViews>
    <sheetView showGridLines="0" showRowColHeaders="0" workbookViewId="0">
      <selection activeCell="J29" sqref="J29"/>
    </sheetView>
  </sheetViews>
  <sheetFormatPr defaultRowHeight="15" x14ac:dyDescent="0.25"/>
  <cols>
    <col min="1" max="2" width="18" bestFit="1" customWidth="1"/>
    <col min="3" max="3" width="15.42578125" bestFit="1" customWidth="1"/>
  </cols>
  <sheetData>
    <row r="2" spans="2:3" ht="15.75" thickBot="1" x14ac:dyDescent="0.3"/>
    <row r="3" spans="2:3" ht="15.75" thickBot="1" x14ac:dyDescent="0.3">
      <c r="B3" s="74" t="s">
        <v>45</v>
      </c>
      <c r="C3" s="95" t="s">
        <v>46</v>
      </c>
    </row>
    <row r="4" spans="2:3" ht="15.75" thickBot="1" x14ac:dyDescent="0.3">
      <c r="B4" s="75">
        <v>10</v>
      </c>
      <c r="C4" s="96"/>
    </row>
    <row r="5" spans="2:3" x14ac:dyDescent="0.25">
      <c r="B5" s="99" t="s">
        <v>19</v>
      </c>
      <c r="C5" s="97">
        <v>220</v>
      </c>
    </row>
    <row r="6" spans="2:3" x14ac:dyDescent="0.25">
      <c r="B6" s="100" t="s">
        <v>15</v>
      </c>
      <c r="C6" s="97">
        <v>220</v>
      </c>
    </row>
    <row r="7" spans="2:3" x14ac:dyDescent="0.25">
      <c r="B7" s="100" t="s">
        <v>11</v>
      </c>
      <c r="C7" s="97">
        <v>200</v>
      </c>
    </row>
    <row r="8" spans="2:3" x14ac:dyDescent="0.25">
      <c r="B8" s="100" t="s">
        <v>22</v>
      </c>
      <c r="C8" s="97">
        <v>40</v>
      </c>
    </row>
    <row r="9" spans="2:3" ht="15.75" thickBot="1" x14ac:dyDescent="0.3">
      <c r="B9" s="101" t="s">
        <v>12</v>
      </c>
      <c r="C9" s="97">
        <v>460</v>
      </c>
    </row>
    <row r="10" spans="2:3" ht="15.75" thickBot="1" x14ac:dyDescent="0.3">
      <c r="B10" s="75" t="s">
        <v>43</v>
      </c>
      <c r="C10" s="97">
        <v>1140</v>
      </c>
    </row>
    <row r="11" spans="2:3" ht="15.75" thickBot="1" x14ac:dyDescent="0.3">
      <c r="B11" s="75">
        <v>11</v>
      </c>
      <c r="C11" s="97"/>
    </row>
    <row r="12" spans="2:3" ht="15.75" thickBot="1" x14ac:dyDescent="0.3">
      <c r="B12" s="102" t="s">
        <v>17</v>
      </c>
      <c r="C12" s="97">
        <v>550</v>
      </c>
    </row>
    <row r="13" spans="2:3" ht="15.75" thickBot="1" x14ac:dyDescent="0.3">
      <c r="B13" s="75" t="s">
        <v>44</v>
      </c>
      <c r="C13" s="97">
        <v>550</v>
      </c>
    </row>
    <row r="14" spans="2:3" ht="15.75" thickBot="1" x14ac:dyDescent="0.3">
      <c r="B14" s="75" t="s">
        <v>30</v>
      </c>
      <c r="C14" s="98">
        <v>1690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0BAF8-33C8-484F-8180-F68BADE7D850}">
  <sheetPr codeName="Planilha4"/>
  <dimension ref="B2:B15"/>
  <sheetViews>
    <sheetView showGridLines="0" workbookViewId="0">
      <selection activeCell="B3" sqref="B3:B15"/>
    </sheetView>
  </sheetViews>
  <sheetFormatPr defaultRowHeight="15" x14ac:dyDescent="0.25"/>
  <cols>
    <col min="2" max="2" width="14.28515625" bestFit="1" customWidth="1"/>
  </cols>
  <sheetData>
    <row r="2" spans="2:2" x14ac:dyDescent="0.25">
      <c r="B2" t="s">
        <v>0</v>
      </c>
    </row>
    <row r="4" spans="2:2" x14ac:dyDescent="0.25">
      <c r="B4" t="s">
        <v>11</v>
      </c>
    </row>
    <row r="5" spans="2:2" x14ac:dyDescent="0.25">
      <c r="B5" t="s">
        <v>12</v>
      </c>
    </row>
    <row r="6" spans="2:2" x14ac:dyDescent="0.25">
      <c r="B6" t="s">
        <v>13</v>
      </c>
    </row>
    <row r="7" spans="2:2" x14ac:dyDescent="0.25">
      <c r="B7" t="s">
        <v>14</v>
      </c>
    </row>
    <row r="8" spans="2:2" x14ac:dyDescent="0.25">
      <c r="B8" t="s">
        <v>15</v>
      </c>
    </row>
    <row r="9" spans="2:2" x14ac:dyDescent="0.25">
      <c r="B9" t="s">
        <v>16</v>
      </c>
    </row>
    <row r="10" spans="2:2" x14ac:dyDescent="0.25">
      <c r="B10" t="s">
        <v>17</v>
      </c>
    </row>
    <row r="11" spans="2:2" x14ac:dyDescent="0.25">
      <c r="B11" t="s">
        <v>18</v>
      </c>
    </row>
    <row r="12" spans="2:2" x14ac:dyDescent="0.25">
      <c r="B12" t="s">
        <v>19</v>
      </c>
    </row>
    <row r="13" spans="2:2" x14ac:dyDescent="0.25">
      <c r="B13" t="s">
        <v>20</v>
      </c>
    </row>
    <row r="14" spans="2:2" x14ac:dyDescent="0.25">
      <c r="B14" t="s">
        <v>21</v>
      </c>
    </row>
    <row r="15" spans="2:2" x14ac:dyDescent="0.25">
      <c r="B15" t="s">
        <v>22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Cadastro</vt:lpstr>
      <vt:lpstr>Lançamentos</vt:lpstr>
      <vt:lpstr>PlanGrafTabDinam</vt:lpstr>
      <vt:lpstr>ControleVBA</vt:lpstr>
      <vt:lpstr>TabLan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Fernanda</dc:creator>
  <cp:lastModifiedBy>Fernanda</cp:lastModifiedBy>
  <dcterms:created xsi:type="dcterms:W3CDTF">2017-10-15T16:15:49Z</dcterms:created>
  <dcterms:modified xsi:type="dcterms:W3CDTF">2017-10-15T20:21:11Z</dcterms:modified>
</cp:coreProperties>
</file>